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es" sheetId="1" state="visible" r:id="rId1"/>
    <sheet xmlns:r="http://schemas.openxmlformats.org/officeDocument/2006/relationships" name="Sources" sheetId="2" state="visible" r:id="rId2"/>
    <sheet xmlns:r="http://schemas.openxmlformats.org/officeDocument/2006/relationships" name="Paramètres" sheetId="3" state="visible" r:id="rId3"/>
    <sheet xmlns:r="http://schemas.openxmlformats.org/officeDocument/2006/relationships" name="Matching modifiable" sheetId="4" state="visible" r:id="rId4"/>
    <sheet xmlns:r="http://schemas.openxmlformats.org/officeDocument/2006/relationships" name="Calculs figés" sheetId="5" state="visible" r:id="rId5"/>
    <sheet xmlns:r="http://schemas.openxmlformats.org/officeDocument/2006/relationships" name="Points forum" sheetId="6" state="visible" r:id="rId6"/>
    <sheet xmlns:r="http://schemas.openxmlformats.org/officeDocument/2006/relationships" name="Protocole" sheetId="7" state="visible" r:id="rId7"/>
    <sheet xmlns:r="http://schemas.openxmlformats.org/officeDocument/2006/relationships" name="Questions fournisseur" sheetId="8" state="visible" r:id="rId8"/>
  </sheets>
  <definedNames>
    <definedName name="_xlnm._FilterDatabase" localSheetId="0" hidden="1">'Hybrides'!$A$1:$G$7</definedName>
    <definedName name="_xlnm._FilterDatabase" localSheetId="1" hidden="1">'Sources'!$A$1:$G$41</definedName>
    <definedName name="_xlnm._FilterDatabase" localSheetId="2" hidden="1">'Paramètres'!$A$1:$C$13</definedName>
    <definedName name="_xlnm._FilterDatabase" localSheetId="3" hidden="1">'Matching modifiable'!$A$1:$J$21</definedName>
    <definedName name="_xlnm._FilterDatabase" localSheetId="4" hidden="1">'Calculs figés'!$A$1:$O$21</definedName>
    <definedName name="_xlnm._FilterDatabase" localSheetId="5" hidden="1">'Points forum'!$A$1:$J$45</definedName>
    <definedName name="_xlnm._FilterDatabase" localSheetId="6" hidden="1">'Protocole'!$A$1:$C$7</definedName>
    <definedName name="_xlnm._FilterDatabase" localSheetId="7" hidden="1">'Questions fournisseur'!$A$1:$B$9</definedName>
  </definedNames>
  <calcPr calcId="19102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6324A"/>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xf numFmtId="164"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vd.net/fr/shop/turbocompr-sport-k16-24-g-pour-993-fvd123013~p262679" TargetMode="External" Id="rId1"/><Relationship Type="http://schemas.openxmlformats.org/officeDocument/2006/relationships/hyperlink" Target="https://www.turbo-technik-hamburg.de/shop/porsche/911/993/435/porsche-911-993-turbo-k16-650ps" TargetMode="External" Id="rId2"/><Relationship Type="http://schemas.openxmlformats.org/officeDocument/2006/relationships/hyperlink" Target="https://tteglobal.com/porsche/911/993-turbo/490/tte650-5050-porsche-993-upgrade-turbochargers" TargetMode="External" Id="rId3"/><Relationship Type="http://schemas.openxmlformats.org/officeDocument/2006/relationships/hyperlink" Target="https://tteglobal.com/porsche/911/993-turbo/65/tte750-5154-porsche-993-upgrade-turbochargers" TargetMode="External" Id="rId4"/><Relationship Type="http://schemas.openxmlformats.org/officeDocument/2006/relationships/hyperlink" Target="https://tteglobal.com/porsche/911/993-turbo/66/tte800-5154-porsche-993-upgrade-turbochargers" TargetMode="External" Id="rId5"/><Relationship Type="http://schemas.openxmlformats.org/officeDocument/2006/relationships/hyperlink" Target="https://www.turbo-technik-hamburg.de/shop/porsche/911/993/436/porsche-911-993-gt2-wls-i-ii-turbo-s-3-6-t-k24-750ps" TargetMode="External" Id="rId6"/><Relationship Type="http://schemas.openxmlformats.org/officeDocument/2006/relationships/hyperlink" Target="https://www.borgwarner.com/docs/default-source/iam/boosting-technologies/bw_turbo-performance-catalog.pdf#page=56" TargetMode="External" Id="rId7"/><Relationship Type="http://schemas.openxmlformats.org/officeDocument/2006/relationships/hyperlink" Target="https://www.cargraphic.de/en/your-vehicle/for-porsche/for-911/for-993/for-turbo-turbo-s-36l/engine-upgrade-kits-porsche-993-turbo-s-36l/power-kit-2-for-porsche-993-turbo-36l/lkp93t300s2/" TargetMode="External" Id="rId8"/><Relationship Type="http://schemas.openxmlformats.org/officeDocument/2006/relationships/hyperlink" Target="https://www.turbodynamics.co.uk/Products/Porsche_911_Hybrid_Turbos/MD433" TargetMode="External" Id="rId9"/><Relationship Type="http://schemas.openxmlformats.org/officeDocument/2006/relationships/hyperlink" Target="https://turbotechnics.com/performance-turbos/" TargetMode="External" Id="rId10"/><Relationship Type="http://schemas.openxmlformats.org/officeDocument/2006/relationships/hyperlink" Target="https://www.rufautomobile.co.uk/ruf-turbo-r" TargetMode="External" Id="rId11"/><Relationship Type="http://schemas.openxmlformats.org/officeDocument/2006/relationships/hyperlink" Target="https://www.rstrada.com/turbo-r" TargetMode="External" Id="rId12"/><Relationship Type="http://schemas.openxmlformats.org/officeDocument/2006/relationships/hyperlink" Target="https://www.rstrada.com/ctr2" TargetMode="External" Id="rId13"/><Relationship Type="http://schemas.openxmlformats.org/officeDocument/2006/relationships/hyperlink" Target="https://www.pca.org/news/ruf-rare-unique-fast-ruf-993-turbo-r" TargetMode="External" Id="rId14"/><Relationship Type="http://schemas.openxmlformats.org/officeDocument/2006/relationships/hyperlink" Target="https://rennlist.com/forums/993-turbo-forum/230177-k24-turbo-lag.html" TargetMode="External" Id="rId15"/><Relationship Type="http://schemas.openxmlformats.org/officeDocument/2006/relationships/hyperlink" Target="https://rennlist.com/forums/993-turbo-forum/230177-k24-turbo-lag-2.html" TargetMode="External" Id="rId16"/><Relationship Type="http://schemas.openxmlformats.org/officeDocument/2006/relationships/hyperlink" Target="https://rennlist.com/forums/993-turbo-forum/307359-ruf-turbo-r-dyno-sheet-before-tune-up.html" TargetMode="External" Id="rId17"/><Relationship Type="http://schemas.openxmlformats.org/officeDocument/2006/relationships/hyperlink" Target="https://rennlist.com/forums/993-turbo-forum/31130-ruf-993-turbo-r-engine-conversion.html" TargetMode="External" Id="rId18"/><Relationship Type="http://schemas.openxmlformats.org/officeDocument/2006/relationships/hyperlink" Target="https://rennlist.com/forums/993-turbo-forum/831976-ruf-ctr2.html" TargetMode="External" Id="rId19"/><Relationship Type="http://schemas.openxmlformats.org/officeDocument/2006/relationships/hyperlink" Target="https://newsroom.porsche.com/christophorus/fr/2020/394/turbo-engines.html" TargetMode="External" Id="rId20"/><Relationship Type="http://schemas.openxmlformats.org/officeDocument/2006/relationships/hyperlink" Target="https://www.qsm.com.au/q/993TTS/PORSCHE_993_TURBO_S_BROCHURE.pdf" TargetMode="External" Id="rId21"/><Relationship Type="http://schemas.openxmlformats.org/officeDocument/2006/relationships/hyperlink" Target="https://www.sjmautotechnik.com/parts_products/turbo/k16.htm" TargetMode="External" Id="rId22"/><Relationship Type="http://schemas.openxmlformats.org/officeDocument/2006/relationships/hyperlink" Target="https://www.sjmautotechnik.com/parts_products/turbo/k16.htm" TargetMode="External" Id="rId23"/><Relationship Type="http://schemas.openxmlformats.org/officeDocument/2006/relationships/hyperlink" Target="https://www.turbomap.ch/Home/TCDatabase" TargetMode="External" Id="rId24"/><Relationship Type="http://schemas.openxmlformats.org/officeDocument/2006/relationships/hyperlink" Target="https://www.garrettmotion.com/racing-and-performance/performance-catalog/turbo/g-series-g25-550/" TargetMode="External" Id="rId25"/><Relationship Type="http://schemas.openxmlformats.org/officeDocument/2006/relationships/hyperlink" Target="https://www.garrettmotion.com/racing-and-performance/performance-catalog/turbo/gt2860rs/" TargetMode="External" Id="rId26"/><Relationship Type="http://schemas.openxmlformats.org/officeDocument/2006/relationships/hyperlink" Target="https://www.borgwarner.com/docs/default-source/iam/boosting-technologies/bw_turbo-performance-catalog.pdf" TargetMode="External" Id="rId27"/><Relationship Type="http://schemas.openxmlformats.org/officeDocument/2006/relationships/hyperlink" Target="https://www.borgwarner.com/docs/default-source/iam/boosting-technologies/bw_turbo-performance-catalog.pdf" TargetMode="External" Id="rId28"/><Relationship Type="http://schemas.openxmlformats.org/officeDocument/2006/relationships/hyperlink" Target="https://www.sjmautotechnik.com/parts_products/turbo/k24.html" TargetMode="External" Id="rId29"/><Relationship Type="http://schemas.openxmlformats.org/officeDocument/2006/relationships/hyperlink" Target="https://www.sjmautotechnik.com/parts_products/turbo/rs2.html" TargetMode="External" Id="rId30"/><Relationship Type="http://schemas.openxmlformats.org/officeDocument/2006/relationships/hyperlink" Target="https://www.garrettmotion.com/wp-content/uploads/2019/10/GAM_Turbo-Tech-103_Expert-1.pdf" TargetMode="External" Id="rId31"/><Relationship Type="http://schemas.openxmlformats.org/officeDocument/2006/relationships/hyperlink" Target="https://www.garrettmotion.com/racing-and-performance/choosing-a-turbocharger/turbo-system-optimization/" TargetMode="External" Id="rId32"/><Relationship Type="http://schemas.openxmlformats.org/officeDocument/2006/relationships/hyperlink" Target="https://singervehicledesign.com/press/singer-presents-results-of-classic-turbo-services/" TargetMode="External" Id="rId33"/><Relationship Type="http://schemas.openxmlformats.org/officeDocument/2006/relationships/hyperlink" Target="https://singervehicledesign.com/press/singer-presents-dls-turbo-services/" TargetMode="External" Id="rId34"/><Relationship Type="http://schemas.openxmlformats.org/officeDocument/2006/relationships/hyperlink" Target="https://singervehicledesign.com/press/singer-presents-sorcerer-the-first-porsche-911-reimagined-for-its-owner-through-dls-turbo-services/" TargetMode="External" Id="rId35"/><Relationship Type="http://schemas.openxmlformats.org/officeDocument/2006/relationships/hyperlink" Target="https://guntherwerks.com/programs/turbo/" TargetMode="External" Id="rId36"/><Relationship Type="http://schemas.openxmlformats.org/officeDocument/2006/relationships/hyperlink" Target="https://raw.githubusercontent.com/pubstack/pubstack.github.io/master/static/993/Brochure%20-%20Porsche%20UK%20993%20-%20the%20Turbo%20%5B1995%5D.pdf" TargetMode="External" Id="rId37"/><Relationship Type="http://schemas.openxmlformats.org/officeDocument/2006/relationships/hyperlink" Target="https://www.turbomaster.com/eng/turbo/borgwarner/5316-988-6735/" TargetMode="External" Id="rId38"/><Relationship Type="http://schemas.openxmlformats.org/officeDocument/2006/relationships/hyperlink" Target="https://www.turbomaster.com/eng/turbo/borgwarner/5316-988-6736/" TargetMode="External" Id="rId39"/><Relationship Type="http://schemas.openxmlformats.org/officeDocument/2006/relationships/hyperlink" Target="https://www.borgwarner.com/aftermarket/boosting-technologies/performance-turbochargers/matchbot" TargetMode="External" Id="rId40"/></Relationships>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45" customWidth="1" min="3" max="3"/>
    <col width="49" customWidth="1" min="4" max="4"/>
    <col width="65" customWidth="1" min="5" max="5"/>
    <col width="15" customWidth="1" min="6" max="6"/>
    <col width="65" customWidth="1" min="7" max="7"/>
  </cols>
  <sheetData>
    <row r="1">
      <c r="A1" s="1" t="inlineStr">
        <is>
          <t>Solution</t>
        </is>
      </c>
      <c r="B1" s="1" t="inlineStr">
        <is>
          <t>Puissance publiée</t>
        </is>
      </c>
      <c r="C1" s="1" t="inlineStr">
        <is>
          <t>Donneur</t>
        </is>
      </c>
      <c r="D1" s="1" t="inlineStr">
        <is>
          <t>Dimensions publiées</t>
        </is>
      </c>
      <c r="E1" s="1" t="inlineStr">
        <is>
          <t>Modifications</t>
        </is>
      </c>
      <c r="F1" s="1" t="inlineStr">
        <is>
          <t>Source</t>
        </is>
      </c>
      <c r="G1" s="1" t="inlineStr">
        <is>
          <t>Nature de la preuve</t>
        </is>
      </c>
    </row>
    <row r="2">
      <c r="A2" s="2" t="inlineStr">
        <is>
          <t>FVD K16/24</t>
        </is>
      </c>
      <c r="B2" s="2" t="inlineStr">
        <is>
          <t>555 hp</t>
        </is>
      </c>
      <c r="C2" s="2" t="inlineStr">
        <is>
          <t>Hybride K16/24 ; donneur précis à confirmer</t>
        </is>
      </c>
      <c r="D2" s="2" t="inlineStr">
        <is>
          <t>Entrée compresseur 47,5 mm</t>
        </is>
      </c>
      <c r="E2" s="2" t="inlineStr">
        <is>
          <t>Retouche turbine ; palier de butée renforcé</t>
        </is>
      </c>
      <c r="F2" s="2" t="inlineStr">
        <is>
          <t>FVD-K16-24</t>
        </is>
      </c>
      <c r="G2" s="2" t="inlineStr">
        <is>
          <t>Capacité fournisseur ; aucune carte compresseur/turbine publiée</t>
        </is>
      </c>
    </row>
    <row r="3">
      <c r="A3" s="2" t="inlineStr">
        <is>
          <t>TTE650 5050</t>
        </is>
      </c>
      <c r="B3" s="2" t="inlineStr">
        <is>
          <t>650 PS</t>
        </is>
      </c>
      <c r="C3" s="2" t="inlineStr">
        <is>
          <t>K16/8 originaux apportés</t>
        </is>
      </c>
      <c r="D3" s="2" t="inlineStr">
        <is>
          <t>Entrée compresseur 50 mm ; sortie turbine 50 mm</t>
        </is>
      </c>
      <c r="E3" s="2" t="inlineStr">
        <is>
          <t>Compresseur billet 6+6 ; turbine K16 retaillée ; paliers/actionneurs upgrade</t>
        </is>
      </c>
      <c r="F3" s="2" t="inlineStr">
        <is>
          <t>TTE-K16-650</t>
        </is>
      </c>
      <c r="G3" s="2" t="inlineStr">
        <is>
          <t>Capacité fournisseur ; aucune carte compresseur/turbine publiée</t>
        </is>
      </c>
    </row>
    <row r="4">
      <c r="A4" s="2" t="inlineStr">
        <is>
          <t>TTH K16-650</t>
        </is>
      </c>
      <c r="B4" s="2" t="inlineStr">
        <is>
          <t>650 PS</t>
        </is>
      </c>
      <c r="C4" s="2" t="inlineStr">
        <is>
          <t>K16 Porsche/BW ; carter chaud 8</t>
        </is>
      </c>
      <c r="D4" s="2" t="inlineStr">
        <is>
          <t>Diamètres non publiés</t>
        </is>
      </c>
      <c r="E4" s="2" t="inlineStr">
        <is>
          <t>Compresseur usiné Extended Tip ; contour CNC ; turbine retaillée ; paliers/actionneurs renforcés</t>
        </is>
      </c>
      <c r="F4" s="2" t="inlineStr">
        <is>
          <t>TTH-K16-650</t>
        </is>
      </c>
      <c r="G4" s="2" t="inlineStr">
        <is>
          <t>Capacité fournisseur ; aucune carte compresseur/turbine publiée</t>
        </is>
      </c>
    </row>
    <row r="5">
      <c r="A5" s="2" t="inlineStr">
        <is>
          <t>TTE750 5154</t>
        </is>
      </c>
      <c r="B5" s="2" t="inlineStr">
        <is>
          <t>750 PS</t>
        </is>
      </c>
      <c r="C5" s="2" t="inlineStr">
        <is>
          <t>K24/10 obligatoires</t>
        </is>
      </c>
      <c r="D5" s="2" t="inlineStr">
        <is>
          <t>Entrée compresseur 51 mm ; sortie turbine 54 mm</t>
        </is>
      </c>
      <c r="E5" s="2" t="inlineStr">
        <is>
          <t>Roue compresseur BW moulée ; turbine K24 retaillée ; K16 exclus de cette offre</t>
        </is>
      </c>
      <c r="F5" s="2" t="inlineStr">
        <is>
          <t>TTE-K24-750</t>
        </is>
      </c>
      <c r="G5" s="2" t="inlineStr">
        <is>
          <t>Capacité fournisseur ; aucune carte compresseur/turbine publiée</t>
        </is>
      </c>
    </row>
    <row r="6">
      <c r="A6" s="2" t="inlineStr">
        <is>
          <t>TTE800 5154</t>
        </is>
      </c>
      <c r="B6" s="2" t="inlineStr">
        <is>
          <t>800 PS+ sur 102 RON</t>
        </is>
      </c>
      <c r="C6" s="2" t="inlineStr">
        <is>
          <t>K24/10</t>
        </is>
      </c>
      <c r="D6" s="2" t="inlineStr">
        <is>
          <t>Entrée compresseur 51 mm ; sortie turbine 54 mm</t>
        </is>
      </c>
      <c r="E6" s="2" t="inlineStr">
        <is>
          <t>Nouvelle turbine/arbre TTE 9 pales et carter usiné ; compresseur billet</t>
        </is>
      </c>
      <c r="F6" s="2" t="inlineStr">
        <is>
          <t>TTE-K24-800</t>
        </is>
      </c>
      <c r="G6" s="2" t="inlineStr">
        <is>
          <t>Capacité fournisseur ; aucune carte compresseur/turbine publiée</t>
        </is>
      </c>
    </row>
    <row r="7">
      <c r="A7" s="2" t="inlineStr">
        <is>
          <t>TTH K24-750</t>
        </is>
      </c>
      <c r="B7" s="2" t="inlineStr">
        <is>
          <t>750 PS</t>
        </is>
      </c>
      <c r="C7" s="2" t="inlineStr">
        <is>
          <t>K24 ; carter chaud 10</t>
        </is>
      </c>
      <c r="D7" s="2" t="inlineStr">
        <is>
          <t>Diamètres non publiés</t>
        </is>
      </c>
      <c r="E7" s="2" t="inlineStr">
        <is>
          <t>Compresseur usiné ; turbine retaillée ; paliers/actionneurs renforcés</t>
        </is>
      </c>
      <c r="F7" s="2" t="inlineStr">
        <is>
          <t>TTH-K24-750</t>
        </is>
      </c>
      <c r="G7" s="2" t="inlineStr">
        <is>
          <t>Capacité fournisseur ; aucune carte compresseur/turbine publiée</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65" customWidth="1" min="3" max="3"/>
    <col width="65" customWidth="1" min="4" max="4"/>
    <col width="65" customWidth="1" min="5" max="5"/>
    <col width="65" customWidth="1" min="6" max="6"/>
    <col width="65" customWidth="1" min="7" max="7"/>
  </cols>
  <sheetData>
    <row r="1">
      <c r="A1" s="1" t="inlineStr">
        <is>
          <t>Groupe</t>
        </is>
      </c>
      <c r="B1" s="1" t="inlineStr">
        <is>
          <t>ID</t>
        </is>
      </c>
      <c r="C1" s="1" t="inlineStr">
        <is>
          <t>Titre</t>
        </is>
      </c>
      <c r="D1" s="1" t="inlineStr">
        <is>
          <t>URL</t>
        </is>
      </c>
      <c r="E1" s="1" t="inlineStr">
        <is>
          <t>Vérification</t>
        </is>
      </c>
      <c r="F1" s="1" t="inlineStr">
        <is>
          <t>Type</t>
        </is>
      </c>
      <c r="G1" s="1" t="inlineStr">
        <is>
          <t>Limites</t>
        </is>
      </c>
    </row>
    <row r="2">
      <c r="A2" s="2" t="inlineStr">
        <is>
          <t>hybrides</t>
        </is>
      </c>
      <c r="B2" s="2" t="inlineStr">
        <is>
          <t>FVD-K16-24</t>
        </is>
      </c>
      <c r="C2" s="2" t="inlineStr">
        <is>
          <t>FVD K16/24 left, FVD123013</t>
        </is>
      </c>
      <c r="D2" s="3" t="inlineStr">
        <is>
          <t>https://www.fvd.net/fr/shop/turbocompr-sport-k16-24-g-pour-993-fvd123013~p262679</t>
        </is>
      </c>
      <c r="E2" s="2" t="inlineStr">
        <is>
          <t>HTTP 200</t>
        </is>
      </c>
      <c r="F2" s="2" t="inlineStr">
        <is>
          <t>primary_supplier_specification</t>
        </is>
      </c>
      <c r="G2" s="2" t="inlineStr">
        <is>
          <t>100,000 rpm is a balancing condition, not a maximum operating-speed specification | No exducer, turbine diameters, wheel alloy, complete profile, pressure-ratio, corrected flow, efficiency, or shaft-speed curve</t>
        </is>
      </c>
    </row>
    <row r="3">
      <c r="A3" s="2" t="inlineStr">
        <is>
          <t>hybrides</t>
        </is>
      </c>
      <c r="B3" s="2" t="inlineStr">
        <is>
          <t>TTH-K16-650</t>
        </is>
      </c>
      <c r="C3" s="2" t="inlineStr">
        <is>
          <t>TTH 993 Turbo K16 650PS, TTH-993-650B</t>
        </is>
      </c>
      <c r="D3" s="3" t="inlineStr">
        <is>
          <t>https://www.turbo-technik-hamburg.de/shop/porsche/911/993/435/porsche-911-993-turbo-k16-650ps</t>
        </is>
      </c>
      <c r="E3" s="2" t="inlineStr">
        <is>
          <t>HTTP 200</t>
        </is>
      </c>
      <c r="F3" s="2" t="inlineStr">
        <is>
          <t>primary_supplier_specification</t>
        </is>
      </c>
      <c r="G3" s="2" t="inlineStr">
        <is>
          <t>No wheel diameter, pressure-ratio, corrected flow, speed, efficiency, temperature data or dyno configuration | 0.05g balance statement does not identify radius or balance quality grade</t>
        </is>
      </c>
    </row>
    <row r="4">
      <c r="A4" s="2" t="inlineStr">
        <is>
          <t>hybrides</t>
        </is>
      </c>
      <c r="B4" s="2" t="inlineStr">
        <is>
          <t>TTE-K16-650</t>
        </is>
      </c>
      <c r="C4" s="2" t="inlineStr">
        <is>
          <t>TTE650 5050 Porsche 993, TTE10488.1</t>
        </is>
      </c>
      <c r="D4" s="3" t="inlineStr">
        <is>
          <t>https://tteglobal.com/porsche/911/993-turbo/490/tte650-5050-porsche-993-upgrade-turbochargers</t>
        </is>
      </c>
      <c r="E4" s="2" t="inlineStr">
        <is>
          <t>HTTP 200</t>
        </is>
      </c>
      <c r="F4" s="2" t="inlineStr">
        <is>
          <t>primary_supplier_specification</t>
        </is>
      </c>
      <c r="G4" s="2" t="inlineStr">
        <is>
          <t>No compressor exducer/turbine inducer, wheel material grade, design profile, shaft speed map, thermal limits or actual 993 dyno graph | General up-to-250,000 rpm VSR statement is application dependent and not an operating-speed declaration for this 993 product | Download Media Pack links to filename TTE650-996-20181217T091152Z-001.zip; do not treat 996 media as 993 evidence</t>
        </is>
      </c>
    </row>
    <row r="5">
      <c r="A5" s="2" t="inlineStr">
        <is>
          <t>hybrides</t>
        </is>
      </c>
      <c r="B5" s="2" t="inlineStr">
        <is>
          <t>TTE-K24-750</t>
        </is>
      </c>
      <c r="C5" s="2" t="inlineStr">
        <is>
          <t>TTE750 5154 Porsche 993, SW10064.1</t>
        </is>
      </c>
      <c r="D5" s="3" t="inlineStr">
        <is>
          <t>https://tteglobal.com/porsche/911/993-turbo/65/tte750-5154-porsche-993-upgrade-turbochargers</t>
        </is>
      </c>
      <c r="E5" s="2" t="inlineStr">
        <is>
          <t>HTTP 200</t>
        </is>
      </c>
      <c r="F5" s="2" t="inlineStr">
        <is>
          <t>primary_supplier_specification</t>
        </is>
      </c>
      <c r="G5" s="2" t="inlineStr">
        <is>
          <t>Actuator crack pressure is not full-load commanded boost | No compressor exducer/turbine inducer or operating-point data</t>
        </is>
      </c>
    </row>
    <row r="6">
      <c r="A6" s="2" t="inlineStr">
        <is>
          <t>hybrides</t>
        </is>
      </c>
      <c r="B6" s="2" t="inlineStr">
        <is>
          <t>TTE-K24-800</t>
        </is>
      </c>
      <c r="C6" s="2" t="inlineStr">
        <is>
          <t>TTE800 5154 Porsche 993, SW10065.1</t>
        </is>
      </c>
      <c r="D6" s="3" t="inlineStr">
        <is>
          <t>https://tteglobal.com/porsche/911/993-turbo/66/tte800-5154-porsche-993-upgrade-turbochargers</t>
        </is>
      </c>
      <c r="E6" s="2" t="inlineStr">
        <is>
          <t>HTTP 200</t>
        </is>
      </c>
      <c r="F6" s="2" t="inlineStr">
        <is>
          <t>primary_supplier_specification</t>
        </is>
      </c>
      <c r="G6" s="2" t="inlineStr">
        <is>
          <t>Supplier 800PS+ capacity is not a dyno curve nor guaranteed M64/60 road durability | No pressure-ratio, corrected flow, efficiency, compressor exducer or shaft-speed operating envelope</t>
        </is>
      </c>
    </row>
    <row r="7">
      <c r="A7" s="2" t="inlineStr">
        <is>
          <t>hybrides</t>
        </is>
      </c>
      <c r="B7" s="2" t="inlineStr">
        <is>
          <t>TTH-K24-750</t>
        </is>
      </c>
      <c r="C7" s="2" t="inlineStr">
        <is>
          <t>TTH 993 K24 750PS, TTH-993-750B</t>
        </is>
      </c>
      <c r="D7" s="3" t="inlineStr">
        <is>
          <t>https://www.turbo-technik-hamburg.de/shop/porsche/911/993/436/porsche-911-993-gt2-wls-i-ii-turbo-s-3-6-t-k24-750ps</t>
        </is>
      </c>
      <c r="E7" s="2" t="inlineStr">
        <is>
          <t>HTTP 200</t>
        </is>
      </c>
      <c r="F7" s="2" t="inlineStr">
        <is>
          <t>primary_supplier_specification</t>
        </is>
      </c>
      <c r="G7" s="2" t="inlineStr">
        <is>
          <t>No wheel diameters, operating points, map, shaft speed or thermal data</t>
        </is>
      </c>
    </row>
    <row r="8">
      <c r="A8" s="2" t="inlineStr">
        <is>
          <t>hybrides</t>
        </is>
      </c>
      <c r="B8" s="2" t="inlineStr">
        <is>
          <t>BORGWARNER-993-UPGRADE</t>
        </is>
      </c>
      <c r="C8" s="2" t="inlineStr">
        <is>
          <t>BorgWarner Turbo Performance catalogue, PDF page 56</t>
        </is>
      </c>
      <c r="D8" s="3" t="inlineStr">
        <is>
          <t>https://www.borgwarner.com/docs/default-source/iam/boosting-technologies/bw_turbo-performance-catalog.pdf#page=56</t>
        </is>
      </c>
      <c r="E8" s="2" t="inlineStr">
        <is>
          <t>HTTP 200</t>
        </is>
      </c>
      <c r="F8" s="2" t="inlineStr">
        <is>
          <t>primary_manufacturer_catalogue</t>
        </is>
      </c>
      <c r="G8" s="2" t="inlineStr">
        <is>
          <t>Catalogue labels hp, not PS; preserve unit as published | This is a product/application limit table, not a measured M64/60 dyno sheet | Catalogue contains other compressor maps, but no map for these K16-6735/6736 or upgrade references is linked on the 993 row</t>
        </is>
      </c>
    </row>
    <row r="9">
      <c r="A9" s="2" t="inlineStr">
        <is>
          <t>hybrides</t>
        </is>
      </c>
      <c r="B9" s="2" t="inlineStr">
        <is>
          <t>CARGRAPHIC-993-K16-24</t>
        </is>
      </c>
      <c r="C9" s="2" t="inlineStr">
        <is>
          <t>Cargraphic Powerkit 2 LKP93T300S2</t>
        </is>
      </c>
      <c r="D9" s="3" t="inlineStr">
        <is>
          <t>https://www.cargraphic.de/en/your-vehicle/for-porsche/for-911/for-993/for-turbo-turbo-s-36l/engine-upgrade-kits-porsche-993-turbo-s-36l/power-kit-2-for-porsche-993-turbo-36l/lkp93t300s2/</t>
        </is>
      </c>
      <c r="E9" s="2" t="inlineStr">
        <is>
          <t>HTTP 200</t>
        </is>
      </c>
      <c r="F9" s="2" t="inlineStr">
        <is>
          <t>primary_tuner_specification</t>
        </is>
      </c>
      <c r="G9" s="2" t="inlineStr">
        <is>
          <t>No plotted dyno trace, boost trace, test atmosphere or turbo map published</t>
        </is>
      </c>
    </row>
    <row r="10">
      <c r="A10" s="2" t="inlineStr">
        <is>
          <t>hybrides</t>
        </is>
      </c>
      <c r="B10" s="2" t="inlineStr">
        <is>
          <t>TURBO-DYNAMICS-MD433</t>
        </is>
      </c>
      <c r="C10" s="2" t="inlineStr">
        <is>
          <t>Turbo Dynamics MD433 product and Porsche category</t>
        </is>
      </c>
      <c r="D10" s="3" t="inlineStr">
        <is>
          <t>https://www.turbodynamics.co.uk/Products/Porsche_911_Hybrid_Turbos/MD433</t>
        </is>
      </c>
      <c r="E10" s="2" t="inlineStr">
        <is>
          <t>HTTP 200</t>
        </is>
      </c>
      <c r="F10" s="2" t="inlineStr">
        <is>
          <t>primary_supplier_page_without_specification</t>
        </is>
      </c>
      <c r="G10" s="2" t="inlineStr">
        <is>
          <t>Product page does not currently establish 993 donor/reference, geometry or capacity; use as supplier contact lead only</t>
        </is>
      </c>
    </row>
    <row r="11">
      <c r="A11" s="2" t="inlineStr">
        <is>
          <t>hybrides</t>
        </is>
      </c>
      <c r="B11" s="2" t="inlineStr">
        <is>
          <t>TURBO-TECHNICS-GENERAL</t>
        </is>
      </c>
      <c r="C11" s="2" t="inlineStr">
        <is>
          <t>Turbo Technics performance turbos</t>
        </is>
      </c>
      <c r="D11" s="3" t="inlineStr">
        <is>
          <t>https://turbotechnics.com/performance-turbos/</t>
        </is>
      </c>
      <c r="E11" s="2" t="inlineStr">
        <is>
          <t>HTTP 200</t>
        </is>
      </c>
      <c r="F11" s="2" t="inlineStr">
        <is>
          <t>primary_supplier_generic_process</t>
        </is>
      </c>
      <c r="G11" s="2" t="inlineStr">
        <is>
          <t>Generic hybrid/bespoke capability page, no verified public 993 product datasheet or map found in this search</t>
        </is>
      </c>
    </row>
    <row r="12">
      <c r="A12" s="2" t="inlineStr">
        <is>
          <t>ruf</t>
        </is>
      </c>
      <c r="B12" s="2" t="inlineStr">
        <is>
          <t>ruf-uk-turbo-r-current</t>
        </is>
      </c>
      <c r="C12" s="2" t="inlineStr">
        <is>
          <t>RUF Automobile UK – RUF Turbo R, 993 Turbo conversion</t>
        </is>
      </c>
      <c r="D12" s="3" t="inlineStr">
        <is>
          <t>https://www.rufautomobile.co.uk/ruf-turbo-r</t>
        </is>
      </c>
      <c r="E12" s="2" t="inlineStr">
        <is>
          <t>HTTP 200, text read</t>
        </is>
      </c>
      <c r="F12" s="2" t="inlineStr">
        <is>
          <t>RUF representative specification</t>
        </is>
      </c>
      <c r="G12" s="2" t="inlineStr">
        <is>
          <t>Current rebuild specification must not be projected onto original 1998 Turbo R. | 405 kW corresponds to approximately 550 PS, but approximately 543 bhp: source mixes unit labels. Preserve source wording. | No wheel geometry, pressure-ratio/flow/efficiency/speed map, turbine swallowing map, boost trace, fuel or ECU tables.</t>
        </is>
      </c>
    </row>
    <row r="13">
      <c r="A13" s="2" t="inlineStr">
        <is>
          <t>ruf</t>
        </is>
      </c>
      <c r="B13" s="2" t="inlineStr">
        <is>
          <t>rstrada-turbo-r-historic</t>
        </is>
      </c>
      <c r="C13" s="2" t="inlineStr">
        <is>
          <t>Rstrada – Turbo R</t>
        </is>
      </c>
      <c r="D13" s="3" t="inlineStr">
        <is>
          <t>https://www.rstrada.com/turbo-r</t>
        </is>
      </c>
      <c r="E13" s="2" t="inlineStr">
        <is>
          <t>HTTP 200, text read</t>
        </is>
      </c>
      <c r="F13" s="2" t="inlineStr">
        <is>
          <t>historical commercial specification</t>
        </is>
      </c>
      <c r="G13" s="2" t="inlineStr">
        <is>
          <t>No rpm for power/torque given on page. | No turbo map, wheel identification, boost or dyno protocol.</t>
        </is>
      </c>
    </row>
    <row r="14">
      <c r="A14" s="2" t="inlineStr">
        <is>
          <t>ruf</t>
        </is>
      </c>
      <c r="B14" s="2" t="inlineStr">
        <is>
          <t>rstrada-ctr2</t>
        </is>
      </c>
      <c r="C14" s="2" t="inlineStr">
        <is>
          <t>Rstrada – RUF CTR2 and CTR2 Sport</t>
        </is>
      </c>
      <c r="D14" s="3" t="inlineStr">
        <is>
          <t>https://www.rstrada.com/ctr2</t>
        </is>
      </c>
      <c r="E14" s="2" t="inlineStr">
        <is>
          <t>HTTP 200, text read</t>
        </is>
      </c>
      <c r="F14" s="2" t="inlineStr">
        <is>
          <t>historical commercial specification</t>
        </is>
      </c>
      <c r="G14" s="2" t="inlineStr">
        <is>
          <t>Architecture related to M64 air-cooled engine but configuration and intercoolers differ from stock 993 Turbo. | Exact KKK part numbers and hybrid geometry not provided. | No compressor map, efficiency or shaft-speed data.</t>
        </is>
      </c>
    </row>
    <row r="15">
      <c r="A15" s="2" t="inlineStr">
        <is>
          <t>ruf</t>
        </is>
      </c>
      <c r="B15" s="2" t="inlineStr">
        <is>
          <t>pca-ruf-993-turbo-r</t>
        </is>
      </c>
      <c r="C15" s="2" t="inlineStr">
        <is>
          <t>PCA / Porsche Panorama – RUF: Rare, Unique, Fast: RUF 993 Turbo R</t>
        </is>
      </c>
      <c r="D15" s="3" t="inlineStr">
        <is>
          <t>https://www.pca.org/news/ruf-rare-unique-fast-ruf-993-turbo-r</t>
        </is>
      </c>
      <c r="E15" s="2" t="inlineStr">
        <is>
          <t>HTTP 200, text read</t>
        </is>
      </c>
      <c r="F15" s="2" t="inlineStr">
        <is>
          <t>technical feature, April 2023 Panorama; June 2023 online</t>
        </is>
      </c>
      <c r="G15" s="2" t="inlineStr">
        <is>
          <t>Reported power above 500 hp is not a turbo flow measurement. | No compressor or turbine maps published. | Specific car differs from generic kit.</t>
        </is>
      </c>
    </row>
    <row r="16">
      <c r="A16" s="2" t="inlineStr">
        <is>
          <t>ruf</t>
        </is>
      </c>
      <c r="B16" s="2" t="inlineStr">
        <is>
          <t>rennlist-k24-lag-page1</t>
        </is>
      </c>
      <c r="C16" s="2" t="inlineStr">
        <is>
          <t>Rennlist – K24 turbo lag, original page</t>
        </is>
      </c>
      <c r="D16" s="3" t="inlineStr">
        <is>
          <t>https://rennlist.com/forums/993-turbo-forum/230177-k24-turbo-lag.html</t>
        </is>
      </c>
      <c r="E16" s="2" t="inlineStr">
        <is>
          <t>HTTP 200, text read</t>
        </is>
      </c>
      <c r="F16" s="2" t="inlineStr">
        <is>
          <t>forum transcription/comparison, September–October 2005</t>
        </is>
      </c>
      <c r="G16" s="2" t="inlineStr">
        <is>
          <t>Underlying Porsche or RUF graphs not obtained from primary source. | Mixed hardware, fuels and dynos; crankshaft rpm does not determine turbo shaft rpm. | No corrected flow, compressor inlet/outlet pressure and temperature, or turbo efficiency. | Some comparison plots explicitly contain guessed points.</t>
        </is>
      </c>
    </row>
    <row r="17">
      <c r="A17" s="2" t="inlineStr">
        <is>
          <t>ruf</t>
        </is>
      </c>
      <c r="B17" s="2" t="inlineStr">
        <is>
          <t>rennlist-k24-lag-page2</t>
        </is>
      </c>
      <c r="C17" s="2" t="inlineStr">
        <is>
          <t>Rennlist – K24 turbo lag, page 2</t>
        </is>
      </c>
      <c r="D17" s="3" t="inlineStr">
        <is>
          <t>https://rennlist.com/forums/993-turbo-forum/230177-k24-turbo-lag-2.html</t>
        </is>
      </c>
      <c r="E17" s="2" t="inlineStr">
        <is>
          <t>HTTP 200, text read; attachments listed but direct attachments HTTP 403</t>
        </is>
      </c>
      <c r="F17" s="2" t="inlineStr">
        <is>
          <t>forum transcription/comparison, October 2005</t>
        </is>
      </c>
      <c r="G17" s="2" t="inlineStr">
        <is>
          <t>RUF torque data do not reproduce claimed peak hp exactly. | Do not use secondhand PSI rpm as stock K16 speed limit or measurement. | Attachment bodies blocked and not visually inspected. | Power/torque curves cannot identify full compressor or turbine map.</t>
        </is>
      </c>
    </row>
    <row r="18">
      <c r="A18" s="2" t="inlineStr">
        <is>
          <t>ruf</t>
        </is>
      </c>
      <c r="B18" s="2" t="inlineStr">
        <is>
          <t>rennlist-ruf-turbo-r-dyno</t>
        </is>
      </c>
      <c r="C18" s="2" t="inlineStr">
        <is>
          <t>Rennlist – RUF turbo R dyno sheet (before tune up)</t>
        </is>
      </c>
      <c r="D18" s="3" t="inlineStr">
        <is>
          <t>https://rennlist.com/forums/993-turbo-forum/307359-ruf-turbo-r-dyno-sheet-before-tune-up.html</t>
        </is>
      </c>
      <c r="E18" s="2" t="inlineStr">
        <is>
          <t>HTTP 200, text read; attachments direct HTTP 403</t>
        </is>
      </c>
      <c r="F18" s="2" t="inlineStr">
        <is>
          <t>owner dyno record, October 2006</t>
        </is>
      </c>
      <c r="G18" s="2" t="inlineStr">
        <is>
          <t>Specific car acknowledged as possibly different from standard Turbo R. | Leak prevents clean baseline. | Dyno image bodies blocked; numerical outputs not read from graph. | No measured boost/airflow/AFR, speed lines or corrected map.</t>
        </is>
      </c>
    </row>
    <row r="19">
      <c r="A19" s="2" t="inlineStr">
        <is>
          <t>ruf</t>
        </is>
      </c>
      <c r="B19" s="2" t="inlineStr">
        <is>
          <t>rennlist-ruf-conversion</t>
        </is>
      </c>
      <c r="C19" s="2" t="inlineStr">
        <is>
          <t>Rennlist – Ruf 993 Turbo R Engine Conversion</t>
        </is>
      </c>
      <c r="D19" s="3" t="inlineStr">
        <is>
          <t>https://rennlist.com/forums/993-turbo-forum/31130-ruf-993-turbo-r-engine-conversion.html</t>
        </is>
      </c>
      <c r="E19" s="2" t="inlineStr">
        <is>
          <t>HTTP 200, text read</t>
        </is>
      </c>
      <c r="F19" s="2" t="inlineStr">
        <is>
          <t>specific conversion owner report, June 2002</t>
        </is>
      </c>
      <c r="G19" s="2" t="inlineStr">
        <is>
          <t>Owner account is not manufacturing drawing or proof of wheel codes. | Multiple changes prevent attributing torque/response to turbo alone. | Reported rev limits must not be treated as factory engine rating.</t>
        </is>
      </c>
    </row>
    <row r="20">
      <c r="A20" s="2" t="inlineStr">
        <is>
          <t>ruf</t>
        </is>
      </c>
      <c r="B20" s="2" t="inlineStr">
        <is>
          <t>rennlist-ruf-ctr2-conflict</t>
        </is>
      </c>
      <c r="C20" s="2" t="inlineStr">
        <is>
          <t>Rennlist – RUF CTR2 turbo identification</t>
        </is>
      </c>
      <c r="D20" s="3" t="inlineStr">
        <is>
          <t>https://rennlist.com/forums/993-turbo-forum/831976-ruf-ctr2.html</t>
        </is>
      </c>
      <c r="E20" s="2" t="inlineStr">
        <is>
          <t>HTTP 200, text read</t>
        </is>
      </c>
      <c r="F20" s="2" t="inlineStr">
        <is>
          <t>forum discussion, September 2014</t>
        </is>
      </c>
      <c r="G20" s="2" t="inlineStr">
        <is>
          <t>Exact CTR2 turbo part number unverified. | Do not list K26/27 or K24/26 as established CTR2 fact.</t>
        </is>
      </c>
    </row>
    <row r="21">
      <c r="A21" s="2" t="inlineStr">
        <is>
          <t>ruf</t>
        </is>
      </c>
      <c r="B21" s="2" t="inlineStr">
        <is>
          <t>porsche-christophorus-turbo-history</t>
        </is>
      </c>
      <c r="C21" s="2" t="inlineStr">
        <is>
          <t>Porsche Christophorus 394 – turbo engines</t>
        </is>
      </c>
      <c r="D21" s="3" t="inlineStr">
        <is>
          <t>https://newsroom.porsche.com/christophorus/fr/2020/394/turbo-engines.html</t>
        </is>
      </c>
      <c r="E21" s="2" t="inlineStr">
        <is>
          <t>Existing local source from previous research inspected</t>
        </is>
      </c>
      <c r="F21" s="2" t="inlineStr">
        <is>
          <t>official overview</t>
        </is>
      </c>
      <c r="G21" s="2" t="inlineStr">
        <is>
          <t>No full compressor or turbine map. | Article general statements about turbo temperatures are not unique 993 turbo material/thermal limits.</t>
        </is>
      </c>
    </row>
    <row r="22">
      <c r="A22" s="2" t="inlineStr">
        <is>
          <t>ruf</t>
        </is>
      </c>
      <c r="B22" s="2" t="inlineStr">
        <is>
          <t>porsche-993-turbos-brochure-lead</t>
        </is>
      </c>
      <c r="C22" s="2" t="inlineStr">
        <is>
          <t>Porsche 993 Turbo S brochure (archival PDF candidate)</t>
        </is>
      </c>
      <c r="D22" s="3" t="inlineStr">
        <is>
          <t>https://www.qsm.com.au/q/993TTS/PORSCHE_993_TURBO_S_BROCHURE.pdf</t>
        </is>
      </c>
      <c r="E22" s="2" t="inlineStr">
        <is>
          <t>Search indexed; direct HTTP 503; unread</t>
        </is>
      </c>
      <c r="F22" s="2" t="inlineStr">
        <is>
          <t>source lead only</t>
        </is>
      </c>
      <c r="G22" s="2" t="inlineStr">
        <is>
          <t>Cannot establish chart content until PDF can be read.</t>
        </is>
      </c>
    </row>
    <row r="23">
      <c r="A23" s="2" t="inlineStr">
        <is>
          <t>ruf</t>
        </is>
      </c>
      <c r="B23" s="2" t="inlineStr">
        <is>
          <t>sjm-k16-6717</t>
        </is>
      </c>
      <c r="C23" s="2" t="inlineStr">
        <is>
          <t>SJM Autotechnik – K16 with 2467 GGA/GGB compressor</t>
        </is>
      </c>
      <c r="D23" s="3" t="inlineStr">
        <is>
          <t>https://www.sjmautotechnik.com/parts_products/turbo/k16.htm</t>
        </is>
      </c>
      <c r="E23" s="2" t="inlineStr">
        <is>
          <t>HTTP 200, title/HTML read; image not inspected by this agent</t>
        </is>
      </c>
      <c r="F23" s="2" t="inlineStr">
        <is>
          <t>published KKK map copy</t>
        </is>
      </c>
      <c r="G23" s="2" t="inlineStr">
        <is>
          <t>Different part number from 993 stock 5316 988 6735/6736. | A K16 family label is insufficient for identity or flow scaling. | Audi source context; cannot declare it a Porsche stock K16 map.</t>
        </is>
      </c>
    </row>
    <row r="24">
      <c r="A24" s="2" t="inlineStr">
        <is>
          <t>cartes</t>
        </is>
      </c>
      <c r="B24" s="2" t="inlineStr">
        <is>
          <t>map-sjm-k16-2467</t>
        </is>
      </c>
      <c r="C24" s="2" t="inlineStr">
        <is>
          <t>SJM Autotechnik – K16 Turbo Map with 2467 GGA/GGB Compressor</t>
        </is>
      </c>
      <c r="D24" s="3" t="inlineStr">
        <is>
          <t>https://www.sjmautotechnik.com/parts_products/turbo/k16.htm</t>
        </is>
      </c>
      <c r="E24" s="2" t="inlineStr">
        <is>
          <t>Public, HTTP200 ; carte inspectée visuellement</t>
        </is>
      </c>
      <c r="F24" s="2" t="inlineStr">
        <is>
          <t>Vraie carte compresseur</t>
        </is>
      </c>
      <c r="G24" s="2" t="inlineStr">
        <is>
          <t>Scan peu défini, code groupé GGA/GGB ; pas de désignation 6735/6736, pas de preuve que le carter 993 et la configuration testée sont identiques. Pas de carte turbine ni limite mécanique publiée sur cette page. Ne pas utiliser160krpm comme régime limite OEM.</t>
        </is>
      </c>
    </row>
    <row r="25">
      <c r="A25" s="2" t="inlineStr">
        <is>
          <t>cartes</t>
        </is>
      </c>
      <c r="B25" s="2" t="inlineStr">
        <is>
          <t>map-turbomap-porsche-996-k16</t>
        </is>
      </c>
      <c r="C25" s="2" t="inlineStr">
        <is>
          <t>Turbomap.ch – Turbocharger Database, gasoline applications</t>
        </is>
      </c>
      <c r="D25" s="3" t="inlineStr">
        <is>
          <t>https://www.turbomap.ch/Home/TCDatabase</t>
        </is>
      </c>
      <c r="E25" s="2" t="inlineStr">
        <is>
          <t>Public catalogue HTTP200 ; jeux de données sur devis, pas acquis</t>
        </is>
      </c>
      <c r="F25" s="2" t="inlineStr">
        <is>
          <t>Jeux numériques compresseur et turbine proposés, non téléchargés</t>
        </is>
      </c>
      <c r="G25" s="2" t="inlineStr">
        <is>
          <t>Porsche996, moteurM96/70 refroidi par eau, référence complète turbo et pièces internes à demander au fournisseur. Ne pas attribuer cette carte au M64/60 993 sans comparaison. Pas de contact envoyé ni devis demandé.</t>
        </is>
      </c>
    </row>
    <row r="26">
      <c r="A26" s="2" t="inlineStr">
        <is>
          <t>cartes</t>
        </is>
      </c>
      <c r="B26" s="2" t="inlineStr">
        <is>
          <t>map-garrett-g25-550</t>
        </is>
      </c>
      <c r="C26" s="2" t="inlineStr">
        <is>
          <t>Garrett G-Series G25-550</t>
        </is>
      </c>
      <c r="D26" s="3" t="inlineStr">
        <is>
          <t>https://www.garrettmotion.com/racing-and-performance/performance-catalog/turbo/g-series-g25-550/</t>
        </is>
      </c>
      <c r="E26" s="2" t="inlineStr">
        <is>
          <t>Public HTTP200, cartes inspectées visuellement</t>
        </is>
      </c>
      <c r="F26" s="2" t="inlineStr">
        <is>
          <t>Carte compresseur et courbes débit corrigé turbine vs rapport de pression</t>
        </is>
      </c>
      <c r="G26" s="2" t="inlineStr"/>
    </row>
    <row r="27">
      <c r="A27" s="2" t="inlineStr">
        <is>
          <t>cartes</t>
        </is>
      </c>
      <c r="B27" s="2" t="inlineStr">
        <is>
          <t>map-garrett-gt2860rs</t>
        </is>
      </c>
      <c r="C27" s="2" t="inlineStr">
        <is>
          <t>Garrett GT2860RS</t>
        </is>
      </c>
      <c r="D27" s="3" t="inlineStr">
        <is>
          <t>https://www.garrettmotion.com/racing-and-performance/performance-catalog/turbo/gt2860rs/</t>
        </is>
      </c>
      <c r="E27" s="2" t="inlineStr">
        <is>
          <t>Public HTTP200 page ; URLs cartes présentes dans page fabricant</t>
        </is>
      </c>
      <c r="F27" s="2" t="inlineStr">
        <is>
          <t>Carte compresseur et courbes débit turbine</t>
        </is>
      </c>
      <c r="G27" s="2" t="inlineStr"/>
    </row>
    <row r="28">
      <c r="A28" s="2" t="inlineStr">
        <is>
          <t>cartes</t>
        </is>
      </c>
      <c r="B28" s="2" t="inlineStr">
        <is>
          <t>map-borgwarner-efr6258</t>
        </is>
      </c>
      <c r="C28" s="2" t="inlineStr">
        <is>
          <t>BorgWarner Performance Turbocharger Catalog – EFR6258</t>
        </is>
      </c>
      <c r="D28" s="3" t="inlineStr">
        <is>
          <t>https://www.borgwarner.com/docs/default-source/iam/boosting-technologies/bw_turbo-performance-catalog.pdf</t>
        </is>
      </c>
      <c r="E28" s="2" t="inlineStr">
        <is>
          <t>PublicPDF déjà acquis ; page inspectée visuellement</t>
        </is>
      </c>
      <c r="F28" s="2" t="inlineStr">
        <is>
          <t>Carte compresseur ; pas de carte turbine complète repérée à cette page</t>
        </is>
      </c>
      <c r="G28" s="2" t="inlineStr"/>
    </row>
    <row r="29">
      <c r="A29" s="2" t="inlineStr">
        <is>
          <t>cartes</t>
        </is>
      </c>
      <c r="B29" s="2" t="inlineStr">
        <is>
          <t>map-borgwarner-efr6758</t>
        </is>
      </c>
      <c r="C29" s="2" t="inlineStr">
        <is>
          <t>BorgWarner Performance Turbocharger Catalog – EFR6758</t>
        </is>
      </c>
      <c r="D29" s="3" t="inlineStr">
        <is>
          <t>https://www.borgwarner.com/docs/default-source/iam/boosting-technologies/bw_turbo-performance-catalog.pdf</t>
        </is>
      </c>
      <c r="E29" s="2" t="inlineStr">
        <is>
          <t>PublicPDF déjà acquis ; page inspectée visuellement</t>
        </is>
      </c>
      <c r="F29" s="2" t="inlineStr">
        <is>
          <t>Carte compresseur ; pas de carte turbine complète repérée à cette page</t>
        </is>
      </c>
      <c r="G29" s="2" t="inlineStr"/>
    </row>
    <row r="30">
      <c r="A30" s="2" t="inlineStr">
        <is>
          <t>cartes</t>
        </is>
      </c>
      <c r="B30" s="2" t="inlineStr">
        <is>
          <t>map-sjm-audi-k24</t>
        </is>
      </c>
      <c r="C30" s="2" t="inlineStr">
        <is>
          <t>SJM Audi K24 Turbo Map</t>
        </is>
      </c>
      <c r="D30" s="3" t="inlineStr">
        <is>
          <t>https://www.sjmautotechnik.com/parts_products/turbo/k24.html</t>
        </is>
      </c>
      <c r="E30" s="2" t="inlineStr">
        <is>
          <t>PublicHTTP200 page, carte liée</t>
        </is>
      </c>
      <c r="F30" s="2" t="inlineStr">
        <is>
          <t>Carte compresseur Audi</t>
        </is>
      </c>
      <c r="G30" s="2" t="inlineStr">
        <is>
          <t>Ce K24Audi n'est pas automatiquement le K24Porsche993. Le nomK24 seul est insuffisant.</t>
        </is>
      </c>
    </row>
    <row r="31">
      <c r="A31" s="2" t="inlineStr">
        <is>
          <t>cartes</t>
        </is>
      </c>
      <c r="B31" s="2" t="inlineStr">
        <is>
          <t>map-sjm-audi-rs2</t>
        </is>
      </c>
      <c r="C31" s="2" t="inlineStr">
        <is>
          <t>SJM Audi RS2 Turbo Map</t>
        </is>
      </c>
      <c r="D31" s="3" t="inlineStr">
        <is>
          <t>https://www.sjmautotechnik.com/parts_products/turbo/rs2.html</t>
        </is>
      </c>
      <c r="E31" s="2" t="inlineStr">
        <is>
          <t>PublicHTTP200 page, carte liée</t>
        </is>
      </c>
      <c r="F31" s="2" t="inlineStr">
        <is>
          <t>Carte compresseur AudiRS2</t>
        </is>
      </c>
      <c r="G31" s="2" t="inlineStr">
        <is>
          <t>Moteur différent du993, référence différente ; collaboration historiquePorscheRS2 ne fait pas de cette carte une cartePorsche993.</t>
        </is>
      </c>
    </row>
    <row r="32">
      <c r="A32" s="2" t="inlineStr">
        <is>
          <t>cartes</t>
        </is>
      </c>
      <c r="B32" s="2" t="inlineStr">
        <is>
          <t>method-garrett-tech103</t>
        </is>
      </c>
      <c r="C32" s="2" t="inlineStr">
        <is>
          <t>Garrett Turbo Tech103 Expert: Compressor Mapping (2019)</t>
        </is>
      </c>
      <c r="D32" s="3" t="inlineStr">
        <is>
          <t>https://www.garrettmotion.com/wp-content/uploads/2019/10/GAM_Turbo-Tech-103_Expert-1.pdf</t>
        </is>
      </c>
      <c r="E32" s="2" t="inlineStr">
        <is>
          <t>PublicHTTP200PDF,13pages</t>
        </is>
      </c>
      <c r="F32" s="2" t="inlineStr">
        <is>
          <t>Méthodologie de lecture et choix de carte</t>
        </is>
      </c>
      <c r="G32" s="2" t="inlineStr"/>
    </row>
    <row r="33">
      <c r="A33" s="2" t="inlineStr">
        <is>
          <t>cartes</t>
        </is>
      </c>
      <c r="B33" s="2" t="inlineStr">
        <is>
          <t>method-garrett-system-optimization</t>
        </is>
      </c>
      <c r="C33" s="2" t="inlineStr">
        <is>
          <t>Garrett Turbo System Optimization</t>
        </is>
      </c>
      <c r="D33" s="3" t="inlineStr">
        <is>
          <t>https://www.garrettmotion.com/racing-and-performance/choosing-a-turbocharger/turbo-system-optimization/</t>
        </is>
      </c>
      <c r="E33" s="2" t="inlineStr">
        <is>
          <t>PublicHTTP200</t>
        </is>
      </c>
      <c r="F33" s="2" t="inlineStr"/>
      <c r="G33" s="2" t="inlineStr"/>
    </row>
    <row r="34">
      <c r="A34" s="2" t="inlineStr">
        <is>
          <t>restomod</t>
        </is>
      </c>
      <c r="B34" s="2" t="inlineStr">
        <is>
          <t>singer-classic-turbo-2022</t>
        </is>
      </c>
      <c r="C34" s="2" t="inlineStr">
        <is>
          <t>Singer presents results of Classic Turbo services</t>
        </is>
      </c>
      <c r="D34" s="3" t="inlineStr">
        <is>
          <t>https://singervehicledesign.com/press/singer-presents-results-of-classic-turbo-services/</t>
        </is>
      </c>
      <c r="E34" s="2" t="inlineStr">
        <is>
          <t>Contenu officiel consulté le 02/10/2026</t>
        </is>
      </c>
      <c r="F34" s="2" t="inlineStr">
        <is>
          <t>Communiqué constructeur / fiche descriptive</t>
        </is>
      </c>
      <c r="G34" s="2" t="inlineStr">
        <is>
          <t>Ce moteur n’est pas le M64/60 3,6 L de série : cylindrée, admission, intercooling et commande de wastegate différents ; aucun fabricant/référence turbo publié dans cette page.</t>
        </is>
      </c>
    </row>
    <row r="35">
      <c r="A35" s="2" t="inlineStr">
        <is>
          <t>restomod</t>
        </is>
      </c>
      <c r="B35" s="2" t="inlineStr">
        <is>
          <t>singer-dls-turbo-2023</t>
        </is>
      </c>
      <c r="C35" s="2" t="inlineStr">
        <is>
          <t>Singer presents DLS Turbo services</t>
        </is>
      </c>
      <c r="D35" s="3" t="inlineStr">
        <is>
          <t>https://singervehicledesign.com/press/singer-presents-dls-turbo-services/</t>
        </is>
      </c>
      <c r="E35" s="2" t="inlineStr">
        <is>
          <t>Contenu officiel consulté le 02/10/2026</t>
        </is>
      </c>
      <c r="F35" s="2" t="inlineStr">
        <is>
          <t>Communiqué constructeur / fiche descriptive</t>
        </is>
      </c>
      <c r="G35" s="2" t="inlineStr">
        <is>
          <t>Quatre soupapes par cylindre et 9000 tr/min changent le débit, le rendement volumétrique et les besoins de matching ; ce n’est pas une référence de K16 hybride pour 993 standard.</t>
        </is>
      </c>
    </row>
    <row r="36">
      <c r="A36" s="2" t="inlineStr">
        <is>
          <t>restomod</t>
        </is>
      </c>
      <c r="B36" s="2" t="inlineStr">
        <is>
          <t>singer-sorcerer-2026</t>
        </is>
      </c>
      <c r="C36" s="2" t="inlineStr">
        <is>
          <t>Singer presents Sorcerer, the first Porsche 911 reimagined through DLS Turbo services</t>
        </is>
      </c>
      <c r="D36" s="3" t="inlineStr">
        <is>
          <t>https://singervehicledesign.com/press/singer-presents-sorcerer-the-first-porsche-911-reimagined-for-its-owner-through-dls-turbo-services/</t>
        </is>
      </c>
      <c r="E36" s="2" t="inlineStr">
        <is>
          <t>Contenu officiel consulté le 02/10/2026</t>
        </is>
      </c>
      <c r="F36" s="2" t="inlineStr">
        <is>
          <t>Communiqué constructeur / configuration livrée</t>
        </is>
      </c>
      <c r="G36" s="2" t="inlineStr">
        <is>
          <t>Culasses à eau, quatre soupapes et turbines à géométrie variable constituent une architecture différente des K16 à géométrie fixe du M64/60 ; le nom Mezger ne suffit pas à établir une équivalence.</t>
        </is>
      </c>
    </row>
    <row r="37">
      <c r="A37" s="2" t="inlineStr">
        <is>
          <t>restomod</t>
        </is>
      </c>
      <c r="B37" s="2" t="inlineStr">
        <is>
          <t>guntherwerks-turbo-current</t>
        </is>
      </c>
      <c r="C37" s="2" t="inlineStr">
        <is>
          <t>Gunther Werks Turbo - fiche actuelle</t>
        </is>
      </c>
      <c r="D37" s="3" t="inlineStr">
        <is>
          <t>https://guntherwerks.com/programs/turbo/</t>
        </is>
      </c>
      <c r="E37" s="2" t="inlineStr">
        <is>
          <t>Contenu officiel consulté le 02/10/2026</t>
        </is>
      </c>
      <c r="F37" s="2" t="inlineStr">
        <is>
          <t>Fiche constructeur actuelle consultée en octobre 2026</t>
        </is>
      </c>
      <c r="G37" s="2" t="inlineStr">
        <is>
          <t>La base de caisse 993 ne prouve pas la conservation du M64/60 ni des carters K16. Passage à 4,0 L et autre admission/commande ; aucun élément permettant de reconstruire une carte OEM.</t>
        </is>
      </c>
    </row>
    <row r="38">
      <c r="A38" s="2" t="inlineStr">
        <is>
          <t>base et méthode</t>
        </is>
      </c>
      <c r="B38" s="2" t="inlineStr">
        <is>
          <t>P01</t>
        </is>
      </c>
      <c r="C38" s="2" t="inlineStr">
        <is>
          <t>Porsche UK — the Turbo, 1995</t>
        </is>
      </c>
      <c r="D38" s="3" t="inlineStr">
        <is>
          <t>https://raw.githubusercontent.com/pubstack/pubstack.github.io/master/static/993/Brochure%20-%20Porsche%20UK%20993%20-%20the%20Turbo%20%5B1995%5D.pdf</t>
        </is>
      </c>
      <c r="E38" s="2" t="inlineStr">
        <is>
          <t>Consulté ; PDF p.7 et p.22</t>
        </is>
      </c>
      <c r="F38" s="2" t="inlineStr">
        <is>
          <t>Porsche / archive</t>
        </is>
      </c>
      <c r="G38" s="2" t="inlineStr">
        <is>
          <t>Courbe moteur, pas carte compresseur.</t>
        </is>
      </c>
    </row>
    <row r="39">
      <c r="A39" s="2" t="inlineStr">
        <is>
          <t>base et méthode</t>
        </is>
      </c>
      <c r="B39" s="2" t="inlineStr">
        <is>
          <t>P02</t>
        </is>
      </c>
      <c r="C39" s="2" t="inlineStr">
        <is>
          <t>TurboMaster — K16 droit 5316-988-6735</t>
        </is>
      </c>
      <c r="D39" s="3" t="inlineStr">
        <is>
          <t>https://www.turbomaster.com/eng/turbo/borgwarner/5316-988-6735/</t>
        </is>
      </c>
      <c r="E39" s="2" t="inlineStr">
        <is>
          <t>Consulté HTTP 200</t>
        </is>
      </c>
      <c r="F39" s="2" t="inlineStr">
        <is>
          <t>Nomenclature distributeur</t>
        </is>
      </c>
      <c r="G39" s="2" t="inlineStr">
        <is>
          <t>K16-2467GGA/8.88 ; CHRA 5316-710-0520 ; ne donne pas une carte.</t>
        </is>
      </c>
    </row>
    <row r="40">
      <c r="A40" s="2" t="inlineStr">
        <is>
          <t>base et méthode</t>
        </is>
      </c>
      <c r="B40" s="2" t="inlineStr">
        <is>
          <t>P03</t>
        </is>
      </c>
      <c r="C40" s="2" t="inlineStr">
        <is>
          <t>TurboMaster — K16 gauche 5316-988-6736</t>
        </is>
      </c>
      <c r="D40" s="3" t="inlineStr">
        <is>
          <t>https://www.turbomaster.com/eng/turbo/borgwarner/5316-988-6736/</t>
        </is>
      </c>
      <c r="E40" s="2" t="inlineStr">
        <is>
          <t>Consulté HTTP 200</t>
        </is>
      </c>
      <c r="F40" s="2" t="inlineStr">
        <is>
          <t>Nomenclature distributeur</t>
        </is>
      </c>
      <c r="G40" s="2" t="inlineStr">
        <is>
          <t>Différences de référence des carters de palier droite/gauche.</t>
        </is>
      </c>
    </row>
    <row r="41">
      <c r="A41" s="2" t="inlineStr">
        <is>
          <t>base et méthode</t>
        </is>
      </c>
      <c r="B41" s="2" t="inlineStr">
        <is>
          <t>M01</t>
        </is>
      </c>
      <c r="C41" s="2" t="inlineStr">
        <is>
          <t>BorgWarner — MatchBot</t>
        </is>
      </c>
      <c r="D41" s="3" t="inlineStr">
        <is>
          <t>https://www.borgwarner.com/aftermarket/boosting-technologies/performance-turbochargers/matchbot</t>
        </is>
      </c>
      <c r="E41" s="2" t="inlineStr">
        <is>
          <t>Consulté HTTP 200</t>
        </is>
      </c>
      <c r="F41" s="2" t="inlineStr">
        <is>
          <t>Outil fabricant</t>
        </is>
      </c>
      <c r="G41" s="2" t="inlineStr">
        <is>
          <t>Calcul de matching ; ne constitue pas une carte K16 mesurée.</t>
        </is>
      </c>
    </row>
  </sheetData>
  <autoFilter ref="A1:G4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53" customWidth="1" min="3" max="3"/>
  </cols>
  <sheetData>
    <row r="1">
      <c r="A1" s="1" t="inlineStr">
        <is>
          <t>Paramètre</t>
        </is>
      </c>
      <c r="B1" s="1" t="inlineStr">
        <is>
          <t>Valeur</t>
        </is>
      </c>
      <c r="C1" s="1" t="inlineStr">
        <is>
          <t>Unité / convention</t>
        </is>
      </c>
    </row>
    <row r="2">
      <c r="A2" s="2" t="inlineStr">
        <is>
          <t>Cylindrée</t>
        </is>
      </c>
      <c r="B2" s="2" t="n">
        <v>0.0036</v>
      </c>
      <c r="C2" s="2" t="inlineStr">
        <is>
          <t>m³</t>
        </is>
      </c>
    </row>
    <row r="3">
      <c r="A3" s="2" t="inlineStr">
        <is>
          <t>VE supposé</t>
        </is>
      </c>
      <c r="B3" s="2" t="n">
        <v>0.9</v>
      </c>
      <c r="C3" s="2" t="inlineStr">
        <is>
          <t>fraction</t>
        </is>
      </c>
    </row>
    <row r="4">
      <c r="A4" s="2" t="inlineStr">
        <is>
          <t>T collecteur</t>
        </is>
      </c>
      <c r="B4" s="2" t="n">
        <v>50</v>
      </c>
      <c r="C4" s="2" t="inlineStr">
        <is>
          <t>°C</t>
        </is>
      </c>
    </row>
    <row r="5">
      <c r="A5" s="2" t="inlineStr">
        <is>
          <t>T entrée compresseur</t>
        </is>
      </c>
      <c r="B5" s="2" t="n">
        <v>20</v>
      </c>
      <c r="C5" s="2" t="inlineStr">
        <is>
          <t>°C</t>
        </is>
      </c>
    </row>
    <row r="6">
      <c r="A6" s="2" t="inlineStr">
        <is>
          <t>P ambiante</t>
        </is>
      </c>
      <c r="B6" s="2" t="n">
        <v>1</v>
      </c>
      <c r="C6" s="2" t="inlineStr">
        <is>
          <t>bar absolu</t>
        </is>
      </c>
    </row>
    <row r="7">
      <c r="A7" s="2" t="inlineStr">
        <is>
          <t>Perte admission avant compresseur</t>
        </is>
      </c>
      <c r="B7" s="2" t="n">
        <v>0.05</v>
      </c>
      <c r="C7" s="2" t="inlineStr">
        <is>
          <t>bar</t>
        </is>
      </c>
    </row>
    <row r="8">
      <c r="A8" s="2" t="inlineStr">
        <is>
          <t>Perte aval compresseur</t>
        </is>
      </c>
      <c r="B8" s="2" t="n">
        <v>0.1</v>
      </c>
      <c r="C8" s="2" t="inlineStr">
        <is>
          <t>bar</t>
        </is>
      </c>
    </row>
    <row r="9">
      <c r="A9" s="2" t="inlineStr">
        <is>
          <t>Constante air</t>
        </is>
      </c>
      <c r="B9" s="2" t="n">
        <v>287.05</v>
      </c>
      <c r="C9" s="2" t="inlineStr">
        <is>
          <t>J/kg/K</t>
        </is>
      </c>
    </row>
    <row r="10">
      <c r="A10" s="2" t="inlineStr">
        <is>
          <t>T de référence débit corrigé</t>
        </is>
      </c>
      <c r="B10" s="2" t="n">
        <v>288.15</v>
      </c>
      <c r="C10" s="2" t="inlineStr">
        <is>
          <t>K ; remplacer par convention carte choisie</t>
        </is>
      </c>
    </row>
    <row r="11">
      <c r="A11" s="2" t="inlineStr">
        <is>
          <t>P de référence débit corrigé</t>
        </is>
      </c>
      <c r="B11" s="2" t="n">
        <v>1.01325</v>
      </c>
      <c r="C11" s="2" t="inlineStr">
        <is>
          <t>bar absolu ; remplacer par convention carte choisie</t>
        </is>
      </c>
    </row>
    <row r="12">
      <c r="A12" s="2" t="inlineStr">
        <is>
          <t>Turbos parallèles</t>
        </is>
      </c>
      <c r="B12" s="2" t="n">
        <v>2</v>
      </c>
      <c r="C12" s="2" t="inlineStr">
        <is>
          <t>partage égal supposé</t>
        </is>
      </c>
    </row>
    <row r="13">
      <c r="A13" s="2" t="inlineStr">
        <is>
          <t>kg/s vers lb/min</t>
        </is>
      </c>
      <c r="B13" s="2" t="n">
        <v>132.277357</v>
      </c>
      <c r="C13" s="2" t="inlineStr">
        <is>
          <t>facteur</t>
        </is>
      </c>
    </row>
  </sheetData>
  <autoFilter ref="A1:C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22" customWidth="1" min="3" max="3"/>
    <col width="34" customWidth="1" min="4" max="4"/>
    <col width="28" customWidth="1" min="5" max="5"/>
    <col width="65" customWidth="1" min="6" max="6"/>
    <col width="24" customWidth="1" min="7" max="7"/>
    <col width="65" customWidth="1" min="8" max="8"/>
    <col width="23" customWidth="1" min="9" max="9"/>
    <col width="47" customWidth="1" min="10" max="10"/>
  </cols>
  <sheetData>
    <row r="1">
      <c r="A1" s="1" t="inlineStr">
        <is>
          <t>Régime moteur tr/min</t>
        </is>
      </c>
      <c r="B1" s="1" t="inlineStr">
        <is>
          <t>Boost supposé bar</t>
        </is>
      </c>
      <c r="C1" s="1" t="inlineStr">
        <is>
          <t>P collecteur abs bar</t>
        </is>
      </c>
      <c r="D1" s="1" t="inlineStr">
        <is>
          <t>P entrée abs bar</t>
        </is>
      </c>
      <c r="E1" s="1" t="inlineStr">
        <is>
          <t>PR compresseur</t>
        </is>
      </c>
      <c r="F1" s="1" t="inlineStr">
        <is>
          <t>Débit kg/s par turbo</t>
        </is>
      </c>
      <c r="G1" s="1" t="inlineStr">
        <is>
          <t>Débit lb/min par turbo</t>
        </is>
      </c>
      <c r="H1" s="1" t="inlineStr">
        <is>
          <t>Débit corrigé kg/s</t>
        </is>
      </c>
      <c r="I1" s="1" t="inlineStr">
        <is>
          <t>Débit corrigé lb/min</t>
        </is>
      </c>
      <c r="J1" s="1" t="inlineStr">
        <is>
          <t>Statut</t>
        </is>
      </c>
    </row>
    <row r="2">
      <c r="A2" s="2" t="n">
        <v>3500</v>
      </c>
      <c r="B2" s="2" t="n">
        <v>0.8</v>
      </c>
      <c r="C2" s="4">
        <f>'Paramètres'!B6+B2</f>
        <v/>
      </c>
      <c r="D2" s="4">
        <f>'Paramètres'!B6-'Paramètres'!B7</f>
        <v/>
      </c>
      <c r="E2" s="4">
        <f>(C2+'Paramètres'!B8)/D2</f>
        <v/>
      </c>
      <c r="F2" s="4">
        <f>'Paramètres'!B2*A2/120*'Paramètres'!B3*C2*100000/('Paramètres'!B9*('Paramètres'!B4+273.15))/'Paramètres'!B12</f>
        <v/>
      </c>
      <c r="G2" s="4">
        <f>F2*'Paramètres'!B13</f>
        <v/>
      </c>
      <c r="H2" s="4">
        <f>F2*SQRT(('Paramètres'!B5+273.15)/'Paramètres'!B10)/(D2/'Paramètres'!B11)</f>
        <v/>
      </c>
      <c r="I2" s="4">
        <f>H2*'Paramètres'!B13</f>
        <v/>
      </c>
      <c r="J2" s="2" t="inlineStr">
        <is>
          <t>Modèle ; aucune pression ou puissance validée</t>
        </is>
      </c>
    </row>
    <row r="3">
      <c r="A3" s="2" t="n">
        <v>4500</v>
      </c>
      <c r="B3" s="2" t="n">
        <v>0.8</v>
      </c>
      <c r="C3" s="4">
        <f>'Paramètres'!B6+B3</f>
        <v/>
      </c>
      <c r="D3" s="4">
        <f>'Paramètres'!B6-'Paramètres'!B7</f>
        <v/>
      </c>
      <c r="E3" s="4">
        <f>(C3+'Paramètres'!B8)/D3</f>
        <v/>
      </c>
      <c r="F3" s="4">
        <f>'Paramètres'!B2*A3/120*'Paramètres'!B3*C3*100000/('Paramètres'!B9*('Paramètres'!B4+273.15))/'Paramètres'!B12</f>
        <v/>
      </c>
      <c r="G3" s="4">
        <f>F3*'Paramètres'!B13</f>
        <v/>
      </c>
      <c r="H3" s="4">
        <f>F3*SQRT(('Paramètres'!B5+273.15)/'Paramètres'!B10)/(D3/'Paramètres'!B11)</f>
        <v/>
      </c>
      <c r="I3" s="4">
        <f>H3*'Paramètres'!B13</f>
        <v/>
      </c>
      <c r="J3" s="2" t="inlineStr">
        <is>
          <t>Modèle ; aucune pression ou puissance validée</t>
        </is>
      </c>
    </row>
    <row r="4">
      <c r="A4" s="2" t="n">
        <v>5500</v>
      </c>
      <c r="B4" s="2" t="n">
        <v>0.8</v>
      </c>
      <c r="C4" s="4">
        <f>'Paramètres'!B6+B4</f>
        <v/>
      </c>
      <c r="D4" s="4">
        <f>'Paramètres'!B6-'Paramètres'!B7</f>
        <v/>
      </c>
      <c r="E4" s="4">
        <f>(C4+'Paramètres'!B8)/D4</f>
        <v/>
      </c>
      <c r="F4" s="4">
        <f>'Paramètres'!B2*A4/120*'Paramètres'!B3*C4*100000/('Paramètres'!B9*('Paramètres'!B4+273.15))/'Paramètres'!B12</f>
        <v/>
      </c>
      <c r="G4" s="4">
        <f>F4*'Paramètres'!B13</f>
        <v/>
      </c>
      <c r="H4" s="4">
        <f>F4*SQRT(('Paramètres'!B5+273.15)/'Paramètres'!B10)/(D4/'Paramètres'!B11)</f>
        <v/>
      </c>
      <c r="I4" s="4">
        <f>H4*'Paramètres'!B13</f>
        <v/>
      </c>
      <c r="J4" s="2" t="inlineStr">
        <is>
          <t>Modèle ; aucune pression ou puissance validée</t>
        </is>
      </c>
    </row>
    <row r="5">
      <c r="A5" s="2" t="n">
        <v>6000</v>
      </c>
      <c r="B5" s="2" t="n">
        <v>0.8</v>
      </c>
      <c r="C5" s="4">
        <f>'Paramètres'!B6+B5</f>
        <v/>
      </c>
      <c r="D5" s="4">
        <f>'Paramètres'!B6-'Paramètres'!B7</f>
        <v/>
      </c>
      <c r="E5" s="4">
        <f>(C5+'Paramètres'!B8)/D5</f>
        <v/>
      </c>
      <c r="F5" s="4">
        <f>'Paramètres'!B2*A5/120*'Paramètres'!B3*C5*100000/('Paramètres'!B9*('Paramètres'!B4+273.15))/'Paramètres'!B12</f>
        <v/>
      </c>
      <c r="G5" s="4">
        <f>F5*'Paramètres'!B13</f>
        <v/>
      </c>
      <c r="H5" s="4">
        <f>F5*SQRT(('Paramètres'!B5+273.15)/'Paramètres'!B10)/(D5/'Paramètres'!B11)</f>
        <v/>
      </c>
      <c r="I5" s="4">
        <f>H5*'Paramètres'!B13</f>
        <v/>
      </c>
      <c r="J5" s="2" t="inlineStr">
        <is>
          <t>Modèle ; aucune pression ou puissance validée</t>
        </is>
      </c>
    </row>
    <row r="6">
      <c r="A6" s="2" t="n">
        <v>6500</v>
      </c>
      <c r="B6" s="2" t="n">
        <v>0.8</v>
      </c>
      <c r="C6" s="4">
        <f>'Paramètres'!B6+B6</f>
        <v/>
      </c>
      <c r="D6" s="4">
        <f>'Paramètres'!B6-'Paramètres'!B7</f>
        <v/>
      </c>
      <c r="E6" s="4">
        <f>(C6+'Paramètres'!B8)/D6</f>
        <v/>
      </c>
      <c r="F6" s="4">
        <f>'Paramètres'!B2*A6/120*'Paramètres'!B3*C6*100000/('Paramètres'!B9*('Paramètres'!B4+273.15))/'Paramètres'!B12</f>
        <v/>
      </c>
      <c r="G6" s="4">
        <f>F6*'Paramètres'!B13</f>
        <v/>
      </c>
      <c r="H6" s="4">
        <f>F6*SQRT(('Paramètres'!B5+273.15)/'Paramètres'!B10)/(D6/'Paramètres'!B11)</f>
        <v/>
      </c>
      <c r="I6" s="4">
        <f>H6*'Paramètres'!B13</f>
        <v/>
      </c>
      <c r="J6" s="2" t="inlineStr">
        <is>
          <t>Modèle ; aucune pression ou puissance validée</t>
        </is>
      </c>
    </row>
    <row r="7">
      <c r="A7" s="2" t="n">
        <v>3500</v>
      </c>
      <c r="B7" s="2" t="n">
        <v>1</v>
      </c>
      <c r="C7" s="4">
        <f>'Paramètres'!B6+B7</f>
        <v/>
      </c>
      <c r="D7" s="4">
        <f>'Paramètres'!B6-'Paramètres'!B7</f>
        <v/>
      </c>
      <c r="E7" s="4">
        <f>(C7+'Paramètres'!B8)/D7</f>
        <v/>
      </c>
      <c r="F7" s="4">
        <f>'Paramètres'!B2*A7/120*'Paramètres'!B3*C7*100000/('Paramètres'!B9*('Paramètres'!B4+273.15))/'Paramètres'!B12</f>
        <v/>
      </c>
      <c r="G7" s="4">
        <f>F7*'Paramètres'!B13</f>
        <v/>
      </c>
      <c r="H7" s="4">
        <f>F7*SQRT(('Paramètres'!B5+273.15)/'Paramètres'!B10)/(D7/'Paramètres'!B11)</f>
        <v/>
      </c>
      <c r="I7" s="4">
        <f>H7*'Paramètres'!B13</f>
        <v/>
      </c>
      <c r="J7" s="2" t="inlineStr">
        <is>
          <t>Modèle ; aucune pression ou puissance validée</t>
        </is>
      </c>
    </row>
    <row r="8">
      <c r="A8" s="2" t="n">
        <v>4500</v>
      </c>
      <c r="B8" s="2" t="n">
        <v>1</v>
      </c>
      <c r="C8" s="4">
        <f>'Paramètres'!B6+B8</f>
        <v/>
      </c>
      <c r="D8" s="4">
        <f>'Paramètres'!B6-'Paramètres'!B7</f>
        <v/>
      </c>
      <c r="E8" s="4">
        <f>(C8+'Paramètres'!B8)/D8</f>
        <v/>
      </c>
      <c r="F8" s="4">
        <f>'Paramètres'!B2*A8/120*'Paramètres'!B3*C8*100000/('Paramètres'!B9*('Paramètres'!B4+273.15))/'Paramètres'!B12</f>
        <v/>
      </c>
      <c r="G8" s="4">
        <f>F8*'Paramètres'!B13</f>
        <v/>
      </c>
      <c r="H8" s="4">
        <f>F8*SQRT(('Paramètres'!B5+273.15)/'Paramètres'!B10)/(D8/'Paramètres'!B11)</f>
        <v/>
      </c>
      <c r="I8" s="4">
        <f>H8*'Paramètres'!B13</f>
        <v/>
      </c>
      <c r="J8" s="2" t="inlineStr">
        <is>
          <t>Modèle ; aucune pression ou puissance validée</t>
        </is>
      </c>
    </row>
    <row r="9">
      <c r="A9" s="2" t="n">
        <v>5500</v>
      </c>
      <c r="B9" s="2" t="n">
        <v>1</v>
      </c>
      <c r="C9" s="4">
        <f>'Paramètres'!B6+B9</f>
        <v/>
      </c>
      <c r="D9" s="4">
        <f>'Paramètres'!B6-'Paramètres'!B7</f>
        <v/>
      </c>
      <c r="E9" s="4">
        <f>(C9+'Paramètres'!B8)/D9</f>
        <v/>
      </c>
      <c r="F9" s="4">
        <f>'Paramètres'!B2*A9/120*'Paramètres'!B3*C9*100000/('Paramètres'!B9*('Paramètres'!B4+273.15))/'Paramètres'!B12</f>
        <v/>
      </c>
      <c r="G9" s="4">
        <f>F9*'Paramètres'!B13</f>
        <v/>
      </c>
      <c r="H9" s="4">
        <f>F9*SQRT(('Paramètres'!B5+273.15)/'Paramètres'!B10)/(D9/'Paramètres'!B11)</f>
        <v/>
      </c>
      <c r="I9" s="4">
        <f>H9*'Paramètres'!B13</f>
        <v/>
      </c>
      <c r="J9" s="2" t="inlineStr">
        <is>
          <t>Modèle ; aucune pression ou puissance validée</t>
        </is>
      </c>
    </row>
    <row r="10">
      <c r="A10" s="2" t="n">
        <v>6000</v>
      </c>
      <c r="B10" s="2" t="n">
        <v>1</v>
      </c>
      <c r="C10" s="4">
        <f>'Paramètres'!B6+B10</f>
        <v/>
      </c>
      <c r="D10" s="4">
        <f>'Paramètres'!B6-'Paramètres'!B7</f>
        <v/>
      </c>
      <c r="E10" s="4">
        <f>(C10+'Paramètres'!B8)/D10</f>
        <v/>
      </c>
      <c r="F10" s="4">
        <f>'Paramètres'!B2*A10/120*'Paramètres'!B3*C10*100000/('Paramètres'!B9*('Paramètres'!B4+273.15))/'Paramètres'!B12</f>
        <v/>
      </c>
      <c r="G10" s="4">
        <f>F10*'Paramètres'!B13</f>
        <v/>
      </c>
      <c r="H10" s="4">
        <f>F10*SQRT(('Paramètres'!B5+273.15)/'Paramètres'!B10)/(D10/'Paramètres'!B11)</f>
        <v/>
      </c>
      <c r="I10" s="4">
        <f>H10*'Paramètres'!B13</f>
        <v/>
      </c>
      <c r="J10" s="2" t="inlineStr">
        <is>
          <t>Modèle ; aucune pression ou puissance validée</t>
        </is>
      </c>
    </row>
    <row r="11">
      <c r="A11" s="2" t="n">
        <v>6500</v>
      </c>
      <c r="B11" s="2" t="n">
        <v>1</v>
      </c>
      <c r="C11" s="4">
        <f>'Paramètres'!B6+B11</f>
        <v/>
      </c>
      <c r="D11" s="4">
        <f>'Paramètres'!B6-'Paramètres'!B7</f>
        <v/>
      </c>
      <c r="E11" s="4">
        <f>(C11+'Paramètres'!B8)/D11</f>
        <v/>
      </c>
      <c r="F11" s="4">
        <f>'Paramètres'!B2*A11/120*'Paramètres'!B3*C11*100000/('Paramètres'!B9*('Paramètres'!B4+273.15))/'Paramètres'!B12</f>
        <v/>
      </c>
      <c r="G11" s="4">
        <f>F11*'Paramètres'!B13</f>
        <v/>
      </c>
      <c r="H11" s="4">
        <f>F11*SQRT(('Paramètres'!B5+273.15)/'Paramètres'!B10)/(D11/'Paramètres'!B11)</f>
        <v/>
      </c>
      <c r="I11" s="4">
        <f>H11*'Paramètres'!B13</f>
        <v/>
      </c>
      <c r="J11" s="2" t="inlineStr">
        <is>
          <t>Modèle ; aucune pression ou puissance validée</t>
        </is>
      </c>
    </row>
    <row r="12">
      <c r="A12" s="2" t="n">
        <v>3500</v>
      </c>
      <c r="B12" s="2" t="n">
        <v>1.2</v>
      </c>
      <c r="C12" s="4">
        <f>'Paramètres'!B6+B12</f>
        <v/>
      </c>
      <c r="D12" s="4">
        <f>'Paramètres'!B6-'Paramètres'!B7</f>
        <v/>
      </c>
      <c r="E12" s="4">
        <f>(C12+'Paramètres'!B8)/D12</f>
        <v/>
      </c>
      <c r="F12" s="4">
        <f>'Paramètres'!B2*A12/120*'Paramètres'!B3*C12*100000/('Paramètres'!B9*('Paramètres'!B4+273.15))/'Paramètres'!B12</f>
        <v/>
      </c>
      <c r="G12" s="4">
        <f>F12*'Paramètres'!B13</f>
        <v/>
      </c>
      <c r="H12" s="4">
        <f>F12*SQRT(('Paramètres'!B5+273.15)/'Paramètres'!B10)/(D12/'Paramètres'!B11)</f>
        <v/>
      </c>
      <c r="I12" s="4">
        <f>H12*'Paramètres'!B13</f>
        <v/>
      </c>
      <c r="J12" s="2" t="inlineStr">
        <is>
          <t>Modèle ; aucune pression ou puissance validée</t>
        </is>
      </c>
    </row>
    <row r="13">
      <c r="A13" s="2" t="n">
        <v>4500</v>
      </c>
      <c r="B13" s="2" t="n">
        <v>1.2</v>
      </c>
      <c r="C13" s="4">
        <f>'Paramètres'!B6+B13</f>
        <v/>
      </c>
      <c r="D13" s="4">
        <f>'Paramètres'!B6-'Paramètres'!B7</f>
        <v/>
      </c>
      <c r="E13" s="4">
        <f>(C13+'Paramètres'!B8)/D13</f>
        <v/>
      </c>
      <c r="F13" s="4">
        <f>'Paramètres'!B2*A13/120*'Paramètres'!B3*C13*100000/('Paramètres'!B9*('Paramètres'!B4+273.15))/'Paramètres'!B12</f>
        <v/>
      </c>
      <c r="G13" s="4">
        <f>F13*'Paramètres'!B13</f>
        <v/>
      </c>
      <c r="H13" s="4">
        <f>F13*SQRT(('Paramètres'!B5+273.15)/'Paramètres'!B10)/(D13/'Paramètres'!B11)</f>
        <v/>
      </c>
      <c r="I13" s="4">
        <f>H13*'Paramètres'!B13</f>
        <v/>
      </c>
      <c r="J13" s="2" t="inlineStr">
        <is>
          <t>Modèle ; aucune pression ou puissance validée</t>
        </is>
      </c>
    </row>
    <row r="14">
      <c r="A14" s="2" t="n">
        <v>5500</v>
      </c>
      <c r="B14" s="2" t="n">
        <v>1.2</v>
      </c>
      <c r="C14" s="4">
        <f>'Paramètres'!B6+B14</f>
        <v/>
      </c>
      <c r="D14" s="4">
        <f>'Paramètres'!B6-'Paramètres'!B7</f>
        <v/>
      </c>
      <c r="E14" s="4">
        <f>(C14+'Paramètres'!B8)/D14</f>
        <v/>
      </c>
      <c r="F14" s="4">
        <f>'Paramètres'!B2*A14/120*'Paramètres'!B3*C14*100000/('Paramètres'!B9*('Paramètres'!B4+273.15))/'Paramètres'!B12</f>
        <v/>
      </c>
      <c r="G14" s="4">
        <f>F14*'Paramètres'!B13</f>
        <v/>
      </c>
      <c r="H14" s="4">
        <f>F14*SQRT(('Paramètres'!B5+273.15)/'Paramètres'!B10)/(D14/'Paramètres'!B11)</f>
        <v/>
      </c>
      <c r="I14" s="4">
        <f>H14*'Paramètres'!B13</f>
        <v/>
      </c>
      <c r="J14" s="2" t="inlineStr">
        <is>
          <t>Modèle ; aucune pression ou puissance validée</t>
        </is>
      </c>
    </row>
    <row r="15">
      <c r="A15" s="2" t="n">
        <v>6000</v>
      </c>
      <c r="B15" s="2" t="n">
        <v>1.2</v>
      </c>
      <c r="C15" s="4">
        <f>'Paramètres'!B6+B15</f>
        <v/>
      </c>
      <c r="D15" s="4">
        <f>'Paramètres'!B6-'Paramètres'!B7</f>
        <v/>
      </c>
      <c r="E15" s="4">
        <f>(C15+'Paramètres'!B8)/D15</f>
        <v/>
      </c>
      <c r="F15" s="4">
        <f>'Paramètres'!B2*A15/120*'Paramètres'!B3*C15*100000/('Paramètres'!B9*('Paramètres'!B4+273.15))/'Paramètres'!B12</f>
        <v/>
      </c>
      <c r="G15" s="4">
        <f>F15*'Paramètres'!B13</f>
        <v/>
      </c>
      <c r="H15" s="4">
        <f>F15*SQRT(('Paramètres'!B5+273.15)/'Paramètres'!B10)/(D15/'Paramètres'!B11)</f>
        <v/>
      </c>
      <c r="I15" s="4">
        <f>H15*'Paramètres'!B13</f>
        <v/>
      </c>
      <c r="J15" s="2" t="inlineStr">
        <is>
          <t>Modèle ; aucune pression ou puissance validée</t>
        </is>
      </c>
    </row>
    <row r="16">
      <c r="A16" s="2" t="n">
        <v>6500</v>
      </c>
      <c r="B16" s="2" t="n">
        <v>1.2</v>
      </c>
      <c r="C16" s="4">
        <f>'Paramètres'!B6+B16</f>
        <v/>
      </c>
      <c r="D16" s="4">
        <f>'Paramètres'!B6-'Paramètres'!B7</f>
        <v/>
      </c>
      <c r="E16" s="4">
        <f>(C16+'Paramètres'!B8)/D16</f>
        <v/>
      </c>
      <c r="F16" s="4">
        <f>'Paramètres'!B2*A16/120*'Paramètres'!B3*C16*100000/('Paramètres'!B9*('Paramètres'!B4+273.15))/'Paramètres'!B12</f>
        <v/>
      </c>
      <c r="G16" s="4">
        <f>F16*'Paramètres'!B13</f>
        <v/>
      </c>
      <c r="H16" s="4">
        <f>F16*SQRT(('Paramètres'!B5+273.15)/'Paramètres'!B10)/(D16/'Paramètres'!B11)</f>
        <v/>
      </c>
      <c r="I16" s="4">
        <f>H16*'Paramètres'!B13</f>
        <v/>
      </c>
      <c r="J16" s="2" t="inlineStr">
        <is>
          <t>Modèle ; aucune pression ou puissance validée</t>
        </is>
      </c>
    </row>
    <row r="17">
      <c r="A17" s="2" t="n">
        <v>3500</v>
      </c>
      <c r="B17" s="2" t="n">
        <v>1.4</v>
      </c>
      <c r="C17" s="4">
        <f>'Paramètres'!B6+B17</f>
        <v/>
      </c>
      <c r="D17" s="4">
        <f>'Paramètres'!B6-'Paramètres'!B7</f>
        <v/>
      </c>
      <c r="E17" s="4">
        <f>(C17+'Paramètres'!B8)/D17</f>
        <v/>
      </c>
      <c r="F17" s="4">
        <f>'Paramètres'!B2*A17/120*'Paramètres'!B3*C17*100000/('Paramètres'!B9*('Paramètres'!B4+273.15))/'Paramètres'!B12</f>
        <v/>
      </c>
      <c r="G17" s="4">
        <f>F17*'Paramètres'!B13</f>
        <v/>
      </c>
      <c r="H17" s="4">
        <f>F17*SQRT(('Paramètres'!B5+273.15)/'Paramètres'!B10)/(D17/'Paramètres'!B11)</f>
        <v/>
      </c>
      <c r="I17" s="4">
        <f>H17*'Paramètres'!B13</f>
        <v/>
      </c>
      <c r="J17" s="2" t="inlineStr">
        <is>
          <t>Modèle ; aucune pression ou puissance validée</t>
        </is>
      </c>
    </row>
    <row r="18">
      <c r="A18" s="2" t="n">
        <v>4500</v>
      </c>
      <c r="B18" s="2" t="n">
        <v>1.4</v>
      </c>
      <c r="C18" s="4">
        <f>'Paramètres'!B6+B18</f>
        <v/>
      </c>
      <c r="D18" s="4">
        <f>'Paramètres'!B6-'Paramètres'!B7</f>
        <v/>
      </c>
      <c r="E18" s="4">
        <f>(C18+'Paramètres'!B8)/D18</f>
        <v/>
      </c>
      <c r="F18" s="4">
        <f>'Paramètres'!B2*A18/120*'Paramètres'!B3*C18*100000/('Paramètres'!B9*('Paramètres'!B4+273.15))/'Paramètres'!B12</f>
        <v/>
      </c>
      <c r="G18" s="4">
        <f>F18*'Paramètres'!B13</f>
        <v/>
      </c>
      <c r="H18" s="4">
        <f>F18*SQRT(('Paramètres'!B5+273.15)/'Paramètres'!B10)/(D18/'Paramètres'!B11)</f>
        <v/>
      </c>
      <c r="I18" s="4">
        <f>H18*'Paramètres'!B13</f>
        <v/>
      </c>
      <c r="J18" s="2" t="inlineStr">
        <is>
          <t>Modèle ; aucune pression ou puissance validée</t>
        </is>
      </c>
    </row>
    <row r="19">
      <c r="A19" s="2" t="n">
        <v>5500</v>
      </c>
      <c r="B19" s="2" t="n">
        <v>1.4</v>
      </c>
      <c r="C19" s="4">
        <f>'Paramètres'!B6+B19</f>
        <v/>
      </c>
      <c r="D19" s="4">
        <f>'Paramètres'!B6-'Paramètres'!B7</f>
        <v/>
      </c>
      <c r="E19" s="4">
        <f>(C19+'Paramètres'!B8)/D19</f>
        <v/>
      </c>
      <c r="F19" s="4">
        <f>'Paramètres'!B2*A19/120*'Paramètres'!B3*C19*100000/('Paramètres'!B9*('Paramètres'!B4+273.15))/'Paramètres'!B12</f>
        <v/>
      </c>
      <c r="G19" s="4">
        <f>F19*'Paramètres'!B13</f>
        <v/>
      </c>
      <c r="H19" s="4">
        <f>F19*SQRT(('Paramètres'!B5+273.15)/'Paramètres'!B10)/(D19/'Paramètres'!B11)</f>
        <v/>
      </c>
      <c r="I19" s="4">
        <f>H19*'Paramètres'!B13</f>
        <v/>
      </c>
      <c r="J19" s="2" t="inlineStr">
        <is>
          <t>Modèle ; aucune pression ou puissance validée</t>
        </is>
      </c>
    </row>
    <row r="20">
      <c r="A20" s="2" t="n">
        <v>6000</v>
      </c>
      <c r="B20" s="2" t="n">
        <v>1.4</v>
      </c>
      <c r="C20" s="4">
        <f>'Paramètres'!B6+B20</f>
        <v/>
      </c>
      <c r="D20" s="4">
        <f>'Paramètres'!B6-'Paramètres'!B7</f>
        <v/>
      </c>
      <c r="E20" s="4">
        <f>(C20+'Paramètres'!B8)/D20</f>
        <v/>
      </c>
      <c r="F20" s="4">
        <f>'Paramètres'!B2*A20/120*'Paramètres'!B3*C20*100000/('Paramètres'!B9*('Paramètres'!B4+273.15))/'Paramètres'!B12</f>
        <v/>
      </c>
      <c r="G20" s="4">
        <f>F20*'Paramètres'!B13</f>
        <v/>
      </c>
      <c r="H20" s="4">
        <f>F20*SQRT(('Paramètres'!B5+273.15)/'Paramètres'!B10)/(D20/'Paramètres'!B11)</f>
        <v/>
      </c>
      <c r="I20" s="4">
        <f>H20*'Paramètres'!B13</f>
        <v/>
      </c>
      <c r="J20" s="2" t="inlineStr">
        <is>
          <t>Modèle ; aucune pression ou puissance validée</t>
        </is>
      </c>
    </row>
    <row r="21">
      <c r="A21" s="2" t="n">
        <v>6500</v>
      </c>
      <c r="B21" s="2" t="n">
        <v>1.4</v>
      </c>
      <c r="C21" s="4">
        <f>'Paramètres'!B6+B21</f>
        <v/>
      </c>
      <c r="D21" s="4">
        <f>'Paramètres'!B6-'Paramètres'!B7</f>
        <v/>
      </c>
      <c r="E21" s="4">
        <f>(C21+'Paramètres'!B8)/D21</f>
        <v/>
      </c>
      <c r="F21" s="4">
        <f>'Paramètres'!B2*A21/120*'Paramètres'!B3*C21*100000/('Paramètres'!B9*('Paramètres'!B4+273.15))/'Paramètres'!B12</f>
        <v/>
      </c>
      <c r="G21" s="4">
        <f>F21*'Paramètres'!B13</f>
        <v/>
      </c>
      <c r="H21" s="4">
        <f>F21*SQRT(('Paramètres'!B5+273.15)/'Paramètres'!B10)/(D21/'Paramètres'!B11)</f>
        <v/>
      </c>
      <c r="I21" s="4">
        <f>H21*'Paramètres'!B13</f>
        <v/>
      </c>
      <c r="J21" s="2" t="inlineStr">
        <is>
          <t>Modèle ; aucune pression ou puissance validée</t>
        </is>
      </c>
    </row>
  </sheetData>
  <autoFilter ref="A1:J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8" customWidth="1" min="7" max="7"/>
    <col width="18" customWidth="1" min="8" max="8"/>
    <col width="15" customWidth="1" min="9" max="9"/>
    <col width="15" customWidth="1" min="10" max="10"/>
    <col width="20" customWidth="1" min="11" max="11"/>
    <col width="21" customWidth="1" min="12" max="12"/>
    <col width="20" customWidth="1" min="13" max="13"/>
    <col width="21" customWidth="1" min="14" max="14"/>
    <col width="21" customWidth="1" min="15" max="15"/>
  </cols>
  <sheetData>
    <row r="1">
      <c r="A1" s="1" t="inlineStr">
        <is>
          <t>rpm</t>
        </is>
      </c>
      <c r="B1" s="1" t="inlineStr">
        <is>
          <t>boost_bar</t>
        </is>
      </c>
      <c r="C1" s="1" t="inlineStr">
        <is>
          <t>VE</t>
        </is>
      </c>
      <c r="D1" s="1" t="inlineStr">
        <is>
          <t>Tman_C</t>
        </is>
      </c>
      <c r="E1" s="1" t="inlineStr">
        <is>
          <t>Tin_C</t>
        </is>
      </c>
      <c r="F1" s="1" t="inlineStr">
        <is>
          <t>pamb_bar</t>
        </is>
      </c>
      <c r="G1" s="1" t="inlineStr">
        <is>
          <t>perte_entree_bar</t>
        </is>
      </c>
      <c r="H1" s="1" t="inlineStr">
        <is>
          <t>perte_sortie_bar</t>
        </is>
      </c>
      <c r="I1" s="1" t="inlineStr">
        <is>
          <t>pman_abs_bar</t>
        </is>
      </c>
      <c r="J1" s="1" t="inlineStr">
        <is>
          <t>pin_abs_bar</t>
        </is>
      </c>
      <c r="K1" s="1" t="inlineStr">
        <is>
          <t>PR</t>
        </is>
      </c>
      <c r="L1" s="1" t="inlineStr">
        <is>
          <t>m_kg_s_par_turbo</t>
        </is>
      </c>
      <c r="M1" s="1" t="inlineStr">
        <is>
          <t>m_lb_min_par_turbo</t>
        </is>
      </c>
      <c r="N1" s="1" t="inlineStr">
        <is>
          <t>mc_kg_s_par_turbo</t>
        </is>
      </c>
      <c r="O1" s="1" t="inlineStr">
        <is>
          <t>mc_lb_min_par_turbo</t>
        </is>
      </c>
    </row>
    <row r="2">
      <c r="A2" s="2" t="n">
        <v>3500</v>
      </c>
      <c r="B2" s="2" t="n">
        <v>0.8</v>
      </c>
      <c r="C2" s="2" t="n">
        <v>0.9</v>
      </c>
      <c r="D2" s="2" t="n">
        <v>50</v>
      </c>
      <c r="E2" s="2" t="n">
        <v>20</v>
      </c>
      <c r="F2" s="2" t="n">
        <v>1</v>
      </c>
      <c r="G2" s="2" t="n">
        <v>0.05</v>
      </c>
      <c r="H2" s="2" t="n">
        <v>0.1</v>
      </c>
      <c r="I2" s="2" t="n">
        <v>1.8</v>
      </c>
      <c r="J2" s="2" t="n">
        <v>0.95</v>
      </c>
      <c r="K2" s="2" t="n">
        <v>2</v>
      </c>
      <c r="L2" s="2" t="n">
        <v>0.09168802258231257</v>
      </c>
      <c r="M2" s="2" t="n">
        <v>12.12824929574462</v>
      </c>
      <c r="N2" s="2" t="n">
        <v>0.09863731705917127</v>
      </c>
      <c r="O2" s="2" t="n">
        <v>13.04748360215819</v>
      </c>
    </row>
    <row r="3">
      <c r="A3" s="2" t="n">
        <v>4500</v>
      </c>
      <c r="B3" s="2" t="n">
        <v>0.8</v>
      </c>
      <c r="C3" s="2" t="n">
        <v>0.9</v>
      </c>
      <c r="D3" s="2" t="n">
        <v>50</v>
      </c>
      <c r="E3" s="2" t="n">
        <v>20</v>
      </c>
      <c r="F3" s="2" t="n">
        <v>1</v>
      </c>
      <c r="G3" s="2" t="n">
        <v>0.05</v>
      </c>
      <c r="H3" s="2" t="n">
        <v>0.1</v>
      </c>
      <c r="I3" s="2" t="n">
        <v>1.8</v>
      </c>
      <c r="J3" s="2" t="n">
        <v>0.95</v>
      </c>
      <c r="K3" s="2" t="n">
        <v>2</v>
      </c>
      <c r="L3" s="2" t="n">
        <v>0.1178846004629733</v>
      </c>
      <c r="M3" s="2" t="n">
        <v>15.59346338024308</v>
      </c>
      <c r="N3" s="2" t="n">
        <v>0.1268194076475059</v>
      </c>
      <c r="O3" s="2" t="n">
        <v>16.77533605991767</v>
      </c>
    </row>
    <row r="4">
      <c r="A4" s="2" t="n">
        <v>5500</v>
      </c>
      <c r="B4" s="2" t="n">
        <v>0.8</v>
      </c>
      <c r="C4" s="2" t="n">
        <v>0.9</v>
      </c>
      <c r="D4" s="2" t="n">
        <v>50</v>
      </c>
      <c r="E4" s="2" t="n">
        <v>20</v>
      </c>
      <c r="F4" s="2" t="n">
        <v>1</v>
      </c>
      <c r="G4" s="2" t="n">
        <v>0.05</v>
      </c>
      <c r="H4" s="2" t="n">
        <v>0.1</v>
      </c>
      <c r="I4" s="2" t="n">
        <v>1.8</v>
      </c>
      <c r="J4" s="2" t="n">
        <v>0.95</v>
      </c>
      <c r="K4" s="2" t="n">
        <v>2</v>
      </c>
      <c r="L4" s="2" t="n">
        <v>0.144081178343634</v>
      </c>
      <c r="M4" s="2" t="n">
        <v>19.05867746474155</v>
      </c>
      <c r="N4" s="2" t="n">
        <v>0.1550014982358406</v>
      </c>
      <c r="O4" s="2" t="n">
        <v>20.50318851767716</v>
      </c>
    </row>
    <row r="5">
      <c r="A5" s="2" t="n">
        <v>6000</v>
      </c>
      <c r="B5" s="2" t="n">
        <v>0.8</v>
      </c>
      <c r="C5" s="2" t="n">
        <v>0.9</v>
      </c>
      <c r="D5" s="2" t="n">
        <v>50</v>
      </c>
      <c r="E5" s="2" t="n">
        <v>20</v>
      </c>
      <c r="F5" s="2" t="n">
        <v>1</v>
      </c>
      <c r="G5" s="2" t="n">
        <v>0.05</v>
      </c>
      <c r="H5" s="2" t="n">
        <v>0.1</v>
      </c>
      <c r="I5" s="2" t="n">
        <v>1.8</v>
      </c>
      <c r="J5" s="2" t="n">
        <v>0.95</v>
      </c>
      <c r="K5" s="2" t="n">
        <v>2</v>
      </c>
      <c r="L5" s="2" t="n">
        <v>0.1571794672839644</v>
      </c>
      <c r="M5" s="2" t="n">
        <v>20.79128450699078</v>
      </c>
      <c r="N5" s="2" t="n">
        <v>0.1690925435300079</v>
      </c>
      <c r="O5" s="2" t="n">
        <v>22.3671147465569</v>
      </c>
    </row>
    <row r="6">
      <c r="A6" s="2" t="n">
        <v>6500</v>
      </c>
      <c r="B6" s="2" t="n">
        <v>0.8</v>
      </c>
      <c r="C6" s="2" t="n">
        <v>0.9</v>
      </c>
      <c r="D6" s="2" t="n">
        <v>50</v>
      </c>
      <c r="E6" s="2" t="n">
        <v>20</v>
      </c>
      <c r="F6" s="2" t="n">
        <v>1</v>
      </c>
      <c r="G6" s="2" t="n">
        <v>0.05</v>
      </c>
      <c r="H6" s="2" t="n">
        <v>0.1</v>
      </c>
      <c r="I6" s="2" t="n">
        <v>1.8</v>
      </c>
      <c r="J6" s="2" t="n">
        <v>0.95</v>
      </c>
      <c r="K6" s="2" t="n">
        <v>2</v>
      </c>
      <c r="L6" s="2" t="n">
        <v>0.1702777562242948</v>
      </c>
      <c r="M6" s="2" t="n">
        <v>22.52389154924001</v>
      </c>
      <c r="N6" s="2" t="n">
        <v>0.1831835888241752</v>
      </c>
      <c r="O6" s="2" t="n">
        <v>24.23104097543664</v>
      </c>
    </row>
    <row r="7">
      <c r="A7" s="2" t="n">
        <v>3500</v>
      </c>
      <c r="B7" s="2" t="n">
        <v>1</v>
      </c>
      <c r="C7" s="2" t="n">
        <v>0.9</v>
      </c>
      <c r="D7" s="2" t="n">
        <v>50</v>
      </c>
      <c r="E7" s="2" t="n">
        <v>20</v>
      </c>
      <c r="F7" s="2" t="n">
        <v>1</v>
      </c>
      <c r="G7" s="2" t="n">
        <v>0.05</v>
      </c>
      <c r="H7" s="2" t="n">
        <v>0.1</v>
      </c>
      <c r="I7" s="2" t="n">
        <v>2</v>
      </c>
      <c r="J7" s="2" t="n">
        <v>0.95</v>
      </c>
      <c r="K7" s="2" t="n">
        <v>2.210526315789474</v>
      </c>
      <c r="L7" s="2" t="n">
        <v>0.101875580647014</v>
      </c>
      <c r="M7" s="2" t="n">
        <v>13.47583255082736</v>
      </c>
      <c r="N7" s="2" t="n">
        <v>0.1095970189546348</v>
      </c>
      <c r="O7" s="2" t="n">
        <v>14.49720400239799</v>
      </c>
    </row>
    <row r="8">
      <c r="A8" s="2" t="n">
        <v>4500</v>
      </c>
      <c r="B8" s="2" t="n">
        <v>1</v>
      </c>
      <c r="C8" s="2" t="n">
        <v>0.9</v>
      </c>
      <c r="D8" s="2" t="n">
        <v>50</v>
      </c>
      <c r="E8" s="2" t="n">
        <v>20</v>
      </c>
      <c r="F8" s="2" t="n">
        <v>1</v>
      </c>
      <c r="G8" s="2" t="n">
        <v>0.05</v>
      </c>
      <c r="H8" s="2" t="n">
        <v>0.1</v>
      </c>
      <c r="I8" s="2" t="n">
        <v>2</v>
      </c>
      <c r="J8" s="2" t="n">
        <v>0.95</v>
      </c>
      <c r="K8" s="2" t="n">
        <v>2.210526315789474</v>
      </c>
      <c r="L8" s="2" t="n">
        <v>0.1309828894033037</v>
      </c>
      <c r="M8" s="2" t="n">
        <v>17.32607042249231</v>
      </c>
      <c r="N8" s="2" t="n">
        <v>0.1409104529416732</v>
      </c>
      <c r="O8" s="2" t="n">
        <v>18.63926228879741</v>
      </c>
    </row>
    <row r="9">
      <c r="A9" s="2" t="n">
        <v>5500</v>
      </c>
      <c r="B9" s="2" t="n">
        <v>1</v>
      </c>
      <c r="C9" s="2" t="n">
        <v>0.9</v>
      </c>
      <c r="D9" s="2" t="n">
        <v>50</v>
      </c>
      <c r="E9" s="2" t="n">
        <v>20</v>
      </c>
      <c r="F9" s="2" t="n">
        <v>1</v>
      </c>
      <c r="G9" s="2" t="n">
        <v>0.05</v>
      </c>
      <c r="H9" s="2" t="n">
        <v>0.1</v>
      </c>
      <c r="I9" s="2" t="n">
        <v>2</v>
      </c>
      <c r="J9" s="2" t="n">
        <v>0.95</v>
      </c>
      <c r="K9" s="2" t="n">
        <v>2.210526315789474</v>
      </c>
      <c r="L9" s="2" t="n">
        <v>0.1600901981595934</v>
      </c>
      <c r="M9" s="2" t="n">
        <v>21.17630829415728</v>
      </c>
      <c r="N9" s="2" t="n">
        <v>0.1722238869287118</v>
      </c>
      <c r="O9" s="2" t="n">
        <v>22.78132057519684</v>
      </c>
    </row>
    <row r="10">
      <c r="A10" s="2" t="n">
        <v>6000</v>
      </c>
      <c r="B10" s="2" t="n">
        <v>1</v>
      </c>
      <c r="C10" s="2" t="n">
        <v>0.9</v>
      </c>
      <c r="D10" s="2" t="n">
        <v>50</v>
      </c>
      <c r="E10" s="2" t="n">
        <v>20</v>
      </c>
      <c r="F10" s="2" t="n">
        <v>1</v>
      </c>
      <c r="G10" s="2" t="n">
        <v>0.05</v>
      </c>
      <c r="H10" s="2" t="n">
        <v>0.1</v>
      </c>
      <c r="I10" s="2" t="n">
        <v>2</v>
      </c>
      <c r="J10" s="2" t="n">
        <v>0.95</v>
      </c>
      <c r="K10" s="2" t="n">
        <v>2.210526315789474</v>
      </c>
      <c r="L10" s="2" t="n">
        <v>0.1746438525377382</v>
      </c>
      <c r="M10" s="2" t="n">
        <v>23.10142722998976</v>
      </c>
      <c r="N10" s="2" t="n">
        <v>0.187880603922231</v>
      </c>
      <c r="O10" s="2" t="n">
        <v>24.85234971839655</v>
      </c>
    </row>
    <row r="11">
      <c r="A11" s="2" t="n">
        <v>6500</v>
      </c>
      <c r="B11" s="2" t="n">
        <v>1</v>
      </c>
      <c r="C11" s="2" t="n">
        <v>0.9</v>
      </c>
      <c r="D11" s="2" t="n">
        <v>50</v>
      </c>
      <c r="E11" s="2" t="n">
        <v>20</v>
      </c>
      <c r="F11" s="2" t="n">
        <v>1</v>
      </c>
      <c r="G11" s="2" t="n">
        <v>0.05</v>
      </c>
      <c r="H11" s="2" t="n">
        <v>0.1</v>
      </c>
      <c r="I11" s="2" t="n">
        <v>2</v>
      </c>
      <c r="J11" s="2" t="n">
        <v>0.95</v>
      </c>
      <c r="K11" s="2" t="n">
        <v>2.210526315789474</v>
      </c>
      <c r="L11" s="2" t="n">
        <v>0.1891975069158831</v>
      </c>
      <c r="M11" s="2" t="n">
        <v>25.02654616582224</v>
      </c>
      <c r="N11" s="2" t="n">
        <v>0.2035373209157502</v>
      </c>
      <c r="O11" s="2" t="n">
        <v>26.92337886159626</v>
      </c>
    </row>
    <row r="12">
      <c r="A12" s="2" t="n">
        <v>3500</v>
      </c>
      <c r="B12" s="2" t="n">
        <v>1.2</v>
      </c>
      <c r="C12" s="2" t="n">
        <v>0.9</v>
      </c>
      <c r="D12" s="2" t="n">
        <v>50</v>
      </c>
      <c r="E12" s="2" t="n">
        <v>20</v>
      </c>
      <c r="F12" s="2" t="n">
        <v>1</v>
      </c>
      <c r="G12" s="2" t="n">
        <v>0.05</v>
      </c>
      <c r="H12" s="2" t="n">
        <v>0.1</v>
      </c>
      <c r="I12" s="2" t="n">
        <v>2.2</v>
      </c>
      <c r="J12" s="2" t="n">
        <v>0.95</v>
      </c>
      <c r="K12" s="2" t="n">
        <v>2.421052631578948</v>
      </c>
      <c r="L12" s="2" t="n">
        <v>0.1120631387117154</v>
      </c>
      <c r="M12" s="2" t="n">
        <v>14.82341580591009</v>
      </c>
      <c r="N12" s="2" t="n">
        <v>0.1205567208500982</v>
      </c>
      <c r="O12" s="2" t="n">
        <v>15.94692440263779</v>
      </c>
    </row>
    <row r="13">
      <c r="A13" s="2" t="n">
        <v>4500</v>
      </c>
      <c r="B13" s="2" t="n">
        <v>1.2</v>
      </c>
      <c r="C13" s="2" t="n">
        <v>0.9</v>
      </c>
      <c r="D13" s="2" t="n">
        <v>50</v>
      </c>
      <c r="E13" s="2" t="n">
        <v>20</v>
      </c>
      <c r="F13" s="2" t="n">
        <v>1</v>
      </c>
      <c r="G13" s="2" t="n">
        <v>0.05</v>
      </c>
      <c r="H13" s="2" t="n">
        <v>0.1</v>
      </c>
      <c r="I13" s="2" t="n">
        <v>2.2</v>
      </c>
      <c r="J13" s="2" t="n">
        <v>0.95</v>
      </c>
      <c r="K13" s="2" t="n">
        <v>2.421052631578948</v>
      </c>
      <c r="L13" s="2" t="n">
        <v>0.144081178343634</v>
      </c>
      <c r="M13" s="2" t="n">
        <v>19.05867746474155</v>
      </c>
      <c r="N13" s="2" t="n">
        <v>0.1550014982358406</v>
      </c>
      <c r="O13" s="2" t="n">
        <v>20.50318851767716</v>
      </c>
    </row>
    <row r="14">
      <c r="A14" s="2" t="n">
        <v>5500</v>
      </c>
      <c r="B14" s="2" t="n">
        <v>1.2</v>
      </c>
      <c r="C14" s="2" t="n">
        <v>0.9</v>
      </c>
      <c r="D14" s="2" t="n">
        <v>50</v>
      </c>
      <c r="E14" s="2" t="n">
        <v>20</v>
      </c>
      <c r="F14" s="2" t="n">
        <v>1</v>
      </c>
      <c r="G14" s="2" t="n">
        <v>0.05</v>
      </c>
      <c r="H14" s="2" t="n">
        <v>0.1</v>
      </c>
      <c r="I14" s="2" t="n">
        <v>2.2</v>
      </c>
      <c r="J14" s="2" t="n">
        <v>0.95</v>
      </c>
      <c r="K14" s="2" t="n">
        <v>2.421052631578948</v>
      </c>
      <c r="L14" s="2" t="n">
        <v>0.1760992179755527</v>
      </c>
      <c r="M14" s="2" t="n">
        <v>23.293939123573</v>
      </c>
      <c r="N14" s="2" t="n">
        <v>0.1894462756215829</v>
      </c>
      <c r="O14" s="2" t="n">
        <v>25.05945263271652</v>
      </c>
    </row>
    <row r="15">
      <c r="A15" s="2" t="n">
        <v>6000</v>
      </c>
      <c r="B15" s="2" t="n">
        <v>1.2</v>
      </c>
      <c r="C15" s="2" t="n">
        <v>0.9</v>
      </c>
      <c r="D15" s="2" t="n">
        <v>50</v>
      </c>
      <c r="E15" s="2" t="n">
        <v>20</v>
      </c>
      <c r="F15" s="2" t="n">
        <v>1</v>
      </c>
      <c r="G15" s="2" t="n">
        <v>0.05</v>
      </c>
      <c r="H15" s="2" t="n">
        <v>0.1</v>
      </c>
      <c r="I15" s="2" t="n">
        <v>2.2</v>
      </c>
      <c r="J15" s="2" t="n">
        <v>0.95</v>
      </c>
      <c r="K15" s="2" t="n">
        <v>2.421052631578948</v>
      </c>
      <c r="L15" s="2" t="n">
        <v>0.1921082377915121</v>
      </c>
      <c r="M15" s="2" t="n">
        <v>25.41156995298874</v>
      </c>
      <c r="N15" s="2" t="n">
        <v>0.2066686643144542</v>
      </c>
      <c r="O15" s="2" t="n">
        <v>27.33758469023621</v>
      </c>
    </row>
    <row r="16">
      <c r="A16" s="2" t="n">
        <v>6500</v>
      </c>
      <c r="B16" s="2" t="n">
        <v>1.2</v>
      </c>
      <c r="C16" s="2" t="n">
        <v>0.9</v>
      </c>
      <c r="D16" s="2" t="n">
        <v>50</v>
      </c>
      <c r="E16" s="2" t="n">
        <v>20</v>
      </c>
      <c r="F16" s="2" t="n">
        <v>1</v>
      </c>
      <c r="G16" s="2" t="n">
        <v>0.05</v>
      </c>
      <c r="H16" s="2" t="n">
        <v>0.1</v>
      </c>
      <c r="I16" s="2" t="n">
        <v>2.2</v>
      </c>
      <c r="J16" s="2" t="n">
        <v>0.95</v>
      </c>
      <c r="K16" s="2" t="n">
        <v>2.421052631578948</v>
      </c>
      <c r="L16" s="2" t="n">
        <v>0.2081172576074714</v>
      </c>
      <c r="M16" s="2" t="n">
        <v>27.52920078240446</v>
      </c>
      <c r="N16" s="2" t="n">
        <v>0.2238910530073253</v>
      </c>
      <c r="O16" s="2" t="n">
        <v>29.61571674775589</v>
      </c>
    </row>
    <row r="17">
      <c r="A17" s="2" t="n">
        <v>3500</v>
      </c>
      <c r="B17" s="2" t="n">
        <v>1.4</v>
      </c>
      <c r="C17" s="2" t="n">
        <v>0.9</v>
      </c>
      <c r="D17" s="2" t="n">
        <v>50</v>
      </c>
      <c r="E17" s="2" t="n">
        <v>20</v>
      </c>
      <c r="F17" s="2" t="n">
        <v>1</v>
      </c>
      <c r="G17" s="2" t="n">
        <v>0.05</v>
      </c>
      <c r="H17" s="2" t="n">
        <v>0.1</v>
      </c>
      <c r="I17" s="2" t="n">
        <v>2.4</v>
      </c>
      <c r="J17" s="2" t="n">
        <v>0.95</v>
      </c>
      <c r="K17" s="2" t="n">
        <v>2.631578947368421</v>
      </c>
      <c r="L17" s="2" t="n">
        <v>0.1222506967764168</v>
      </c>
      <c r="M17" s="2" t="n">
        <v>16.17099906099283</v>
      </c>
      <c r="N17" s="2" t="n">
        <v>0.1315164227455617</v>
      </c>
      <c r="O17" s="2" t="n">
        <v>17.39664480287759</v>
      </c>
    </row>
    <row r="18">
      <c r="A18" s="2" t="n">
        <v>4500</v>
      </c>
      <c r="B18" s="2" t="n">
        <v>1.4</v>
      </c>
      <c r="C18" s="2" t="n">
        <v>0.9</v>
      </c>
      <c r="D18" s="2" t="n">
        <v>50</v>
      </c>
      <c r="E18" s="2" t="n">
        <v>20</v>
      </c>
      <c r="F18" s="2" t="n">
        <v>1</v>
      </c>
      <c r="G18" s="2" t="n">
        <v>0.05</v>
      </c>
      <c r="H18" s="2" t="n">
        <v>0.1</v>
      </c>
      <c r="I18" s="2" t="n">
        <v>2.4</v>
      </c>
      <c r="J18" s="2" t="n">
        <v>0.95</v>
      </c>
      <c r="K18" s="2" t="n">
        <v>2.631578947368421</v>
      </c>
      <c r="L18" s="2" t="n">
        <v>0.1571794672839644</v>
      </c>
      <c r="M18" s="2" t="n">
        <v>20.79128450699077</v>
      </c>
      <c r="N18" s="2" t="n">
        <v>0.1690925435300079</v>
      </c>
      <c r="O18" s="2" t="n">
        <v>22.36711474655689</v>
      </c>
    </row>
    <row r="19">
      <c r="A19" s="2" t="n">
        <v>5500</v>
      </c>
      <c r="B19" s="2" t="n">
        <v>1.4</v>
      </c>
      <c r="C19" s="2" t="n">
        <v>0.9</v>
      </c>
      <c r="D19" s="2" t="n">
        <v>50</v>
      </c>
      <c r="E19" s="2" t="n">
        <v>20</v>
      </c>
      <c r="F19" s="2" t="n">
        <v>1</v>
      </c>
      <c r="G19" s="2" t="n">
        <v>0.05</v>
      </c>
      <c r="H19" s="2" t="n">
        <v>0.1</v>
      </c>
      <c r="I19" s="2" t="n">
        <v>2.4</v>
      </c>
      <c r="J19" s="2" t="n">
        <v>0.95</v>
      </c>
      <c r="K19" s="2" t="n">
        <v>2.631578947368421</v>
      </c>
      <c r="L19" s="2" t="n">
        <v>0.1921082377915121</v>
      </c>
      <c r="M19" s="2" t="n">
        <v>25.41156995298874</v>
      </c>
      <c r="N19" s="2" t="n">
        <v>0.2066686643144542</v>
      </c>
      <c r="O19" s="2" t="n">
        <v>27.33758469023621</v>
      </c>
    </row>
    <row r="20">
      <c r="A20" s="2" t="n">
        <v>6000</v>
      </c>
      <c r="B20" s="2" t="n">
        <v>1.4</v>
      </c>
      <c r="C20" s="2" t="n">
        <v>0.9</v>
      </c>
      <c r="D20" s="2" t="n">
        <v>50</v>
      </c>
      <c r="E20" s="2" t="n">
        <v>20</v>
      </c>
      <c r="F20" s="2" t="n">
        <v>1</v>
      </c>
      <c r="G20" s="2" t="n">
        <v>0.05</v>
      </c>
      <c r="H20" s="2" t="n">
        <v>0.1</v>
      </c>
      <c r="I20" s="2" t="n">
        <v>2.4</v>
      </c>
      <c r="J20" s="2" t="n">
        <v>0.95</v>
      </c>
      <c r="K20" s="2" t="n">
        <v>2.631578947368421</v>
      </c>
      <c r="L20" s="2" t="n">
        <v>0.2095726230452859</v>
      </c>
      <c r="M20" s="2" t="n">
        <v>27.72171267598771</v>
      </c>
      <c r="N20" s="2" t="n">
        <v>0.2254567247066772</v>
      </c>
      <c r="O20" s="2" t="n">
        <v>29.82281966207586</v>
      </c>
    </row>
    <row r="21">
      <c r="A21" s="2" t="n">
        <v>6500</v>
      </c>
      <c r="B21" s="2" t="n">
        <v>1.4</v>
      </c>
      <c r="C21" s="2" t="n">
        <v>0.9</v>
      </c>
      <c r="D21" s="2" t="n">
        <v>50</v>
      </c>
      <c r="E21" s="2" t="n">
        <v>20</v>
      </c>
      <c r="F21" s="2" t="n">
        <v>1</v>
      </c>
      <c r="G21" s="2" t="n">
        <v>0.05</v>
      </c>
      <c r="H21" s="2" t="n">
        <v>0.1</v>
      </c>
      <c r="I21" s="2" t="n">
        <v>2.4</v>
      </c>
      <c r="J21" s="2" t="n">
        <v>0.95</v>
      </c>
      <c r="K21" s="2" t="n">
        <v>2.631578947368421</v>
      </c>
      <c r="L21" s="2" t="n">
        <v>0.2270370082990597</v>
      </c>
      <c r="M21" s="2" t="n">
        <v>30.03185539898667</v>
      </c>
      <c r="N21" s="2" t="n">
        <v>0.2442447850989002</v>
      </c>
      <c r="O21" s="2" t="n">
        <v>32.3080546339155</v>
      </c>
    </row>
  </sheetData>
  <autoFilter ref="A1:O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31" customWidth="1" min="1" max="1"/>
    <col width="24" customWidth="1" min="2" max="2"/>
    <col width="15" customWidth="1" min="3" max="3"/>
    <col width="17" customWidth="1" min="4" max="4"/>
    <col width="17" customWidth="1" min="5" max="5"/>
    <col width="20" customWidth="1" min="6" max="6"/>
    <col width="20" customWidth="1" min="7" max="7"/>
    <col width="20" customWidth="1" min="8" max="8"/>
    <col width="20" customWidth="1" min="9" max="9"/>
    <col width="65" customWidth="1" min="10" max="10"/>
  </cols>
  <sheetData>
    <row r="1">
      <c r="A1" s="1" t="inlineStr">
        <is>
          <t>Courbe</t>
        </is>
      </c>
      <c r="B1" s="1" t="inlineStr">
        <is>
          <t>Source</t>
        </is>
      </c>
      <c r="C1" s="1" t="inlineStr">
        <is>
          <t>Régime moteur</t>
        </is>
      </c>
      <c r="D1" s="1" t="inlineStr">
        <is>
          <t>Couple original</t>
        </is>
      </c>
      <c r="E1" s="1" t="inlineStr">
        <is>
          <t>Unité originale</t>
        </is>
      </c>
      <c r="F1" s="1" t="inlineStr">
        <is>
          <t>Couple Nm calculé</t>
        </is>
      </c>
      <c r="G1" s="1" t="inlineStr">
        <is>
          <t>P kW calculée</t>
        </is>
      </c>
      <c r="H1" s="1" t="inlineStr">
        <is>
          <t>P ch calculée</t>
        </is>
      </c>
      <c r="I1" s="1" t="inlineStr">
        <is>
          <t>P bhp calculée</t>
        </is>
      </c>
      <c r="J1" s="1" t="inlineStr">
        <is>
          <t>Statut</t>
        </is>
      </c>
    </row>
    <row r="2">
      <c r="A2" s="2" t="inlineStr">
        <is>
          <t>porsche-k16-408-transcribed</t>
        </is>
      </c>
      <c r="B2" s="2" t="inlineStr">
        <is>
          <t>rennlist-k24-lag-page1</t>
        </is>
      </c>
      <c r="C2" s="2" t="n">
        <v>2000</v>
      </c>
      <c r="D2" s="2" t="n">
        <v>300</v>
      </c>
      <c r="E2" s="2" t="inlineStr">
        <is>
          <t>Nm</t>
        </is>
      </c>
      <c r="F2" s="2" t="n">
        <v>300</v>
      </c>
      <c r="G2" s="2" t="n">
        <v>62.83185307179586</v>
      </c>
      <c r="H2" s="2" t="n">
        <v>85.42754569167639</v>
      </c>
      <c r="I2" s="2" t="n">
        <v>84.2589028522669</v>
      </c>
      <c r="J2" s="2" t="inlineStr">
        <is>
          <t>secondhand transcription attributed to Porsche published curve</t>
        </is>
      </c>
    </row>
    <row r="3">
      <c r="A3" s="2" t="inlineStr">
        <is>
          <t>porsche-k16-408-transcribed</t>
        </is>
      </c>
      <c r="B3" s="2" t="inlineStr">
        <is>
          <t>rennlist-k24-lag-page1</t>
        </is>
      </c>
      <c r="C3" s="2" t="n">
        <v>2500</v>
      </c>
      <c r="D3" s="2" t="n">
        <v>400</v>
      </c>
      <c r="E3" s="2" t="inlineStr">
        <is>
          <t>Nm</t>
        </is>
      </c>
      <c r="F3" s="2" t="n">
        <v>400</v>
      </c>
      <c r="G3" s="2" t="n">
        <v>104.7197551196598</v>
      </c>
      <c r="H3" s="2" t="n">
        <v>142.3792428194606</v>
      </c>
      <c r="I3" s="2" t="n">
        <v>140.4315047537782</v>
      </c>
      <c r="J3" s="2" t="inlineStr">
        <is>
          <t>secondhand transcription attributed to Porsche published curve</t>
        </is>
      </c>
    </row>
    <row r="4">
      <c r="A4" s="2" t="inlineStr">
        <is>
          <t>porsche-k16-408-transcribed</t>
        </is>
      </c>
      <c r="B4" s="2" t="inlineStr">
        <is>
          <t>rennlist-k24-lag-page1</t>
        </is>
      </c>
      <c r="C4" s="2" t="n">
        <v>2750</v>
      </c>
      <c r="D4" s="2" t="n">
        <v>425</v>
      </c>
      <c r="E4" s="2" t="inlineStr">
        <is>
          <t>Nm</t>
        </is>
      </c>
      <c r="F4" s="2" t="n">
        <v>425</v>
      </c>
      <c r="G4" s="2" t="n">
        <v>122.3912137961024</v>
      </c>
      <c r="H4" s="2" t="n">
        <v>166.4057400452446</v>
      </c>
      <c r="I4" s="2" t="n">
        <v>164.1293211809783</v>
      </c>
      <c r="J4" s="2" t="inlineStr">
        <is>
          <t>secondhand transcription attributed to Porsche published curve</t>
        </is>
      </c>
    </row>
    <row r="5">
      <c r="A5" s="2" t="inlineStr">
        <is>
          <t>porsche-k16-408-transcribed</t>
        </is>
      </c>
      <c r="B5" s="2" t="inlineStr">
        <is>
          <t>rennlist-k24-lag-page1</t>
        </is>
      </c>
      <c r="C5" s="2" t="n">
        <v>3000</v>
      </c>
      <c r="D5" s="2" t="n">
        <v>455</v>
      </c>
      <c r="E5" s="2" t="inlineStr">
        <is>
          <t>Nm</t>
        </is>
      </c>
      <c r="F5" s="2" t="n">
        <v>455</v>
      </c>
      <c r="G5" s="2" t="n">
        <v>142.9424657383356</v>
      </c>
      <c r="H5" s="2" t="n">
        <v>194.3476664485638</v>
      </c>
      <c r="I5" s="2" t="n">
        <v>191.6890039889072</v>
      </c>
      <c r="J5" s="2" t="inlineStr">
        <is>
          <t>secondhand transcription attributed to Porsche published curve</t>
        </is>
      </c>
    </row>
    <row r="6">
      <c r="A6" s="2" t="inlineStr">
        <is>
          <t>porsche-k16-408-transcribed</t>
        </is>
      </c>
      <c r="B6" s="2" t="inlineStr">
        <is>
          <t>rennlist-k24-lag-page1</t>
        </is>
      </c>
      <c r="C6" s="2" t="n">
        <v>3500</v>
      </c>
      <c r="D6" s="2" t="n">
        <v>500</v>
      </c>
      <c r="E6" s="2" t="inlineStr">
        <is>
          <t>Nm</t>
        </is>
      </c>
      <c r="F6" s="2" t="n">
        <v>500</v>
      </c>
      <c r="G6" s="2" t="n">
        <v>183.2595714594046</v>
      </c>
      <c r="H6" s="2" t="n">
        <v>249.1636749340561</v>
      </c>
      <c r="I6" s="2" t="n">
        <v>245.7551333191118</v>
      </c>
      <c r="J6" s="2" t="inlineStr">
        <is>
          <t>secondhand transcription attributed to Porsche published curve</t>
        </is>
      </c>
    </row>
    <row r="7">
      <c r="A7" s="2" t="inlineStr">
        <is>
          <t>porsche-k16-408-transcribed</t>
        </is>
      </c>
      <c r="B7" s="2" t="inlineStr">
        <is>
          <t>rennlist-k24-lag-page1</t>
        </is>
      </c>
      <c r="C7" s="2" t="n">
        <v>4000</v>
      </c>
      <c r="D7" s="2" t="n">
        <v>500</v>
      </c>
      <c r="E7" s="2" t="inlineStr">
        <is>
          <t>Nm</t>
        </is>
      </c>
      <c r="F7" s="2" t="n">
        <v>500</v>
      </c>
      <c r="G7" s="2" t="n">
        <v>209.4395102393195</v>
      </c>
      <c r="H7" s="2" t="n">
        <v>284.7584856389213</v>
      </c>
      <c r="I7" s="2" t="n">
        <v>280.8630095075563</v>
      </c>
      <c r="J7" s="2" t="inlineStr">
        <is>
          <t>secondhand transcription attributed to Porsche published curve</t>
        </is>
      </c>
    </row>
    <row r="8">
      <c r="A8" s="2" t="inlineStr">
        <is>
          <t>porsche-k24-450-transcribed</t>
        </is>
      </c>
      <c r="B8" s="2" t="inlineStr">
        <is>
          <t>rennlist-k24-lag-page1</t>
        </is>
      </c>
      <c r="C8" s="2" t="n">
        <v>2000</v>
      </c>
      <c r="D8" s="2" t="n">
        <v>250</v>
      </c>
      <c r="E8" s="2" t="inlineStr">
        <is>
          <t>Nm</t>
        </is>
      </c>
      <c r="F8" s="2" t="n">
        <v>250</v>
      </c>
      <c r="G8" s="2" t="n">
        <v>52.35987755982988</v>
      </c>
      <c r="H8" s="2" t="n">
        <v>71.18962140973032</v>
      </c>
      <c r="I8" s="2" t="n">
        <v>70.21575237688909</v>
      </c>
      <c r="J8" s="2" t="inlineStr">
        <is>
          <t>secondhand transcription attributed to Euro Turbo S 450PS Porsche curve</t>
        </is>
      </c>
    </row>
    <row r="9">
      <c r="A9" s="2" t="inlineStr">
        <is>
          <t>porsche-k24-450-transcribed</t>
        </is>
      </c>
      <c r="B9" s="2" t="inlineStr">
        <is>
          <t>rennlist-k24-lag-page1</t>
        </is>
      </c>
      <c r="C9" s="2" t="n">
        <v>2500</v>
      </c>
      <c r="D9" s="2" t="n">
        <v>350</v>
      </c>
      <c r="E9" s="2" t="inlineStr">
        <is>
          <t>Nm</t>
        </is>
      </c>
      <c r="F9" s="2" t="n">
        <v>350</v>
      </c>
      <c r="G9" s="2" t="n">
        <v>91.62978572970229</v>
      </c>
      <c r="H9" s="2" t="n">
        <v>124.5818374670281</v>
      </c>
      <c r="I9" s="2" t="n">
        <v>122.8775666595559</v>
      </c>
      <c r="J9" s="2" t="inlineStr">
        <is>
          <t>secondhand transcription attributed to Euro Turbo S 450PS Porsche curve</t>
        </is>
      </c>
    </row>
    <row r="10">
      <c r="A10" s="2" t="inlineStr">
        <is>
          <t>porsche-k24-450-transcribed</t>
        </is>
      </c>
      <c r="B10" s="2" t="inlineStr">
        <is>
          <t>rennlist-k24-lag-page1</t>
        </is>
      </c>
      <c r="C10" s="2" t="n">
        <v>2750</v>
      </c>
      <c r="D10" s="2" t="n">
        <v>400</v>
      </c>
      <c r="E10" s="2" t="inlineStr">
        <is>
          <t>Nm</t>
        </is>
      </c>
      <c r="F10" s="2" t="n">
        <v>400</v>
      </c>
      <c r="G10" s="2" t="n">
        <v>115.1917306316257</v>
      </c>
      <c r="H10" s="2" t="n">
        <v>156.6171671014067</v>
      </c>
      <c r="I10" s="2" t="n">
        <v>154.474655229156</v>
      </c>
      <c r="J10" s="2" t="inlineStr">
        <is>
          <t>secondhand transcription attributed to Euro Turbo S 450PS Porsche curve</t>
        </is>
      </c>
    </row>
    <row r="11">
      <c r="A11" s="2" t="inlineStr">
        <is>
          <t>porsche-k24-450-transcribed</t>
        </is>
      </c>
      <c r="B11" s="2" t="inlineStr">
        <is>
          <t>rennlist-k24-lag-page1</t>
        </is>
      </c>
      <c r="C11" s="2" t="n">
        <v>3000</v>
      </c>
      <c r="D11" s="2" t="n">
        <v>475</v>
      </c>
      <c r="E11" s="2" t="inlineStr">
        <is>
          <t>Nm</t>
        </is>
      </c>
      <c r="F11" s="2" t="n">
        <v>475</v>
      </c>
      <c r="G11" s="2" t="n">
        <v>149.2256510455152</v>
      </c>
      <c r="H11" s="2" t="n">
        <v>202.8904210177314</v>
      </c>
      <c r="I11" s="2" t="n">
        <v>200.1148942741339</v>
      </c>
      <c r="J11" s="2" t="inlineStr">
        <is>
          <t>secondhand transcription attributed to Euro Turbo S 450PS Porsche curve</t>
        </is>
      </c>
    </row>
    <row r="12">
      <c r="A12" s="2" t="inlineStr">
        <is>
          <t>porsche-k24-450-transcribed</t>
        </is>
      </c>
      <c r="B12" s="2" t="inlineStr">
        <is>
          <t>rennlist-k24-lag-page1</t>
        </is>
      </c>
      <c r="C12" s="2" t="n">
        <v>3500</v>
      </c>
      <c r="D12" s="2" t="n">
        <v>580</v>
      </c>
      <c r="E12" s="2" t="inlineStr">
        <is>
          <t>Nm</t>
        </is>
      </c>
      <c r="F12" s="2" t="n">
        <v>580</v>
      </c>
      <c r="G12" s="2" t="n">
        <v>212.5811028929093</v>
      </c>
      <c r="H12" s="2" t="n">
        <v>289.029862923505</v>
      </c>
      <c r="I12" s="2" t="n">
        <v>285.0759546501696</v>
      </c>
      <c r="J12" s="2" t="inlineStr">
        <is>
          <t>secondhand transcription attributed to Euro Turbo S 450PS Porsche curve</t>
        </is>
      </c>
    </row>
    <row r="13">
      <c r="A13" s="2" t="inlineStr">
        <is>
          <t>porsche-k24-450-transcribed</t>
        </is>
      </c>
      <c r="B13" s="2" t="inlineStr">
        <is>
          <t>rennlist-k24-lag-page1</t>
        </is>
      </c>
      <c r="C13" s="2" t="n">
        <v>4000</v>
      </c>
      <c r="D13" s="2" t="n">
        <v>575</v>
      </c>
      <c r="E13" s="2" t="inlineStr">
        <is>
          <t>Nm</t>
        </is>
      </c>
      <c r="F13" s="2" t="n">
        <v>575</v>
      </c>
      <c r="G13" s="2" t="n">
        <v>240.8554367752175</v>
      </c>
      <c r="H13" s="2" t="n">
        <v>327.4722584847595</v>
      </c>
      <c r="I13" s="2" t="n">
        <v>322.9924609336898</v>
      </c>
      <c r="J13" s="2" t="inlineStr">
        <is>
          <t>secondhand transcription attributed to Euro Turbo S 450PS Porsche curve</t>
        </is>
      </c>
    </row>
    <row r="14">
      <c r="A14" s="2" t="inlineStr">
        <is>
          <t>ruf-turbo-r-web-transcribed</t>
        </is>
      </c>
      <c r="B14" s="2" t="inlineStr">
        <is>
          <t>rennlist-k24-lag-page1</t>
        </is>
      </c>
      <c r="C14" s="2" t="n">
        <v>2000</v>
      </c>
      <c r="D14" s="2" t="n">
        <v>320</v>
      </c>
      <c r="E14" s="2" t="inlineStr">
        <is>
          <t>Nm</t>
        </is>
      </c>
      <c r="F14" s="2" t="n">
        <v>320</v>
      </c>
      <c r="G14" s="2" t="n">
        <v>67.02064327658225</v>
      </c>
      <c r="H14" s="2" t="n">
        <v>91.12271540445479</v>
      </c>
      <c r="I14" s="2" t="n">
        <v>89.87616304241803</v>
      </c>
      <c r="J14" s="2" t="inlineStr">
        <is>
          <t>secondhand transcription attributed to RUF website, 490PS</t>
        </is>
      </c>
    </row>
    <row r="15">
      <c r="A15" s="2" t="inlineStr">
        <is>
          <t>ruf-turbo-r-web-transcribed</t>
        </is>
      </c>
      <c r="B15" s="2" t="inlineStr">
        <is>
          <t>rennlist-k24-lag-page1</t>
        </is>
      </c>
      <c r="C15" s="2" t="n">
        <v>2500</v>
      </c>
      <c r="D15" s="2" t="n">
        <v>395</v>
      </c>
      <c r="E15" s="2" t="inlineStr">
        <is>
          <t>Nm</t>
        </is>
      </c>
      <c r="F15" s="2" t="n">
        <v>395</v>
      </c>
      <c r="G15" s="2" t="n">
        <v>103.410758180664</v>
      </c>
      <c r="H15" s="2" t="n">
        <v>140.5995022842174</v>
      </c>
      <c r="I15" s="2" t="n">
        <v>138.6761109443559</v>
      </c>
      <c r="J15" s="2" t="inlineStr">
        <is>
          <t>secondhand transcription attributed to RUF website, 490PS</t>
        </is>
      </c>
    </row>
    <row r="16">
      <c r="A16" s="2" t="inlineStr">
        <is>
          <t>ruf-turbo-r-web-transcribed</t>
        </is>
      </c>
      <c r="B16" s="2" t="inlineStr">
        <is>
          <t>rennlist-k24-lag-page1</t>
        </is>
      </c>
      <c r="C16" s="2" t="n">
        <v>3000</v>
      </c>
      <c r="D16" s="2" t="n">
        <v>500</v>
      </c>
      <c r="E16" s="2" t="inlineStr">
        <is>
          <t>Nm</t>
        </is>
      </c>
      <c r="F16" s="2" t="n">
        <v>500</v>
      </c>
      <c r="G16" s="2" t="n">
        <v>157.0796326794897</v>
      </c>
      <c r="H16" s="2" t="n">
        <v>213.568864229191</v>
      </c>
      <c r="I16" s="2" t="n">
        <v>210.6472571306673</v>
      </c>
      <c r="J16" s="2" t="inlineStr">
        <is>
          <t>secondhand transcription attributed to RUF website, 490PS</t>
        </is>
      </c>
    </row>
    <row r="17">
      <c r="A17" s="2" t="inlineStr">
        <is>
          <t>ruf-turbo-r-web-transcribed</t>
        </is>
      </c>
      <c r="B17" s="2" t="inlineStr">
        <is>
          <t>rennlist-k24-lag-page1</t>
        </is>
      </c>
      <c r="C17" s="2" t="n">
        <v>3500</v>
      </c>
      <c r="D17" s="2" t="n">
        <v>570</v>
      </c>
      <c r="E17" s="2" t="inlineStr">
        <is>
          <t>Nm</t>
        </is>
      </c>
      <c r="F17" s="2" t="n">
        <v>570</v>
      </c>
      <c r="G17" s="2" t="n">
        <v>208.9159114637212</v>
      </c>
      <c r="H17" s="2" t="n">
        <v>284.046589424824</v>
      </c>
      <c r="I17" s="2" t="n">
        <v>280.1608519837874</v>
      </c>
      <c r="J17" s="2" t="inlineStr">
        <is>
          <t>secondhand transcription attributed to RUF website, 490PS</t>
        </is>
      </c>
    </row>
    <row r="18">
      <c r="A18" s="2" t="inlineStr">
        <is>
          <t>ruf-turbo-r-web-transcribed</t>
        </is>
      </c>
      <c r="B18" s="2" t="inlineStr">
        <is>
          <t>rennlist-k24-lag-page1</t>
        </is>
      </c>
      <c r="C18" s="2" t="n">
        <v>3750</v>
      </c>
      <c r="D18" s="2" t="n">
        <v>600</v>
      </c>
      <c r="E18" s="2" t="inlineStr">
        <is>
          <t>Nm</t>
        </is>
      </c>
      <c r="F18" s="2" t="n">
        <v>600</v>
      </c>
      <c r="G18" s="2" t="n">
        <v>235.6194490192345</v>
      </c>
      <c r="H18" s="2" t="n">
        <v>320.3532963437864</v>
      </c>
      <c r="I18" s="2" t="n">
        <v>315.9708856960009</v>
      </c>
      <c r="J18" s="2" t="inlineStr">
        <is>
          <t>secondhand transcription attributed to RUF website, 490PS</t>
        </is>
      </c>
    </row>
    <row r="19">
      <c r="A19" s="2" t="inlineStr">
        <is>
          <t>ruf-turbo-r-web-transcribed</t>
        </is>
      </c>
      <c r="B19" s="2" t="inlineStr">
        <is>
          <t>rennlist-k24-lag-page1</t>
        </is>
      </c>
      <c r="C19" s="2" t="n">
        <v>4000</v>
      </c>
      <c r="D19" s="2" t="n">
        <v>614</v>
      </c>
      <c r="E19" s="2" t="inlineStr">
        <is>
          <t>Nm</t>
        </is>
      </c>
      <c r="F19" s="2" t="n">
        <v>614</v>
      </c>
      <c r="G19" s="2" t="n">
        <v>257.1917185738844</v>
      </c>
      <c r="H19" s="2" t="n">
        <v>349.6834203645953</v>
      </c>
      <c r="I19" s="2" t="n">
        <v>344.8997756752792</v>
      </c>
      <c r="J19" s="2" t="inlineStr">
        <is>
          <t>secondhand transcription attributed to RUF website, 490PS</t>
        </is>
      </c>
    </row>
    <row r="20">
      <c r="A20" s="2" t="inlineStr">
        <is>
          <t>zc-k16-stage3-engine-dyno</t>
        </is>
      </c>
      <c r="B20" s="2" t="inlineStr">
        <is>
          <t>rennlist-k24-lag-page1</t>
        </is>
      </c>
      <c r="C20" s="2" t="n">
        <v>2000</v>
      </c>
      <c r="D20" s="2" t="n">
        <v>325</v>
      </c>
      <c r="E20" s="2" t="inlineStr">
        <is>
          <t>Nm</t>
        </is>
      </c>
      <c r="F20" s="2" t="n">
        <v>325</v>
      </c>
      <c r="G20" s="2" t="n">
        <v>68.06784082777885</v>
      </c>
      <c r="H20" s="2" t="n">
        <v>92.54650783264941</v>
      </c>
      <c r="I20" s="2" t="n">
        <v>91.28047808995581</v>
      </c>
      <c r="J20" s="2" t="inlineStr">
        <is>
          <t>owner reported engine dyno by RS Tuning</t>
        </is>
      </c>
    </row>
    <row r="21">
      <c r="A21" s="2" t="inlineStr">
        <is>
          <t>zc-k16-stage3-engine-dyno</t>
        </is>
      </c>
      <c r="B21" s="2" t="inlineStr">
        <is>
          <t>rennlist-k24-lag-page1</t>
        </is>
      </c>
      <c r="C21" s="2" t="n">
        <v>2500</v>
      </c>
      <c r="D21" s="2" t="n">
        <v>360</v>
      </c>
      <c r="E21" s="2" t="inlineStr">
        <is>
          <t>Nm</t>
        </is>
      </c>
      <c r="F21" s="2" t="n">
        <v>360</v>
      </c>
      <c r="G21" s="2" t="n">
        <v>94.24777960769379</v>
      </c>
      <c r="H21" s="2" t="n">
        <v>128.1413185375146</v>
      </c>
      <c r="I21" s="2" t="n">
        <v>126.3883542784003</v>
      </c>
      <c r="J21" s="2" t="inlineStr">
        <is>
          <t>owner reported engine dyno by RS Tuning</t>
        </is>
      </c>
    </row>
    <row r="22">
      <c r="A22" s="2" t="inlineStr">
        <is>
          <t>zc-k16-stage3-engine-dyno</t>
        </is>
      </c>
      <c r="B22" s="2" t="inlineStr">
        <is>
          <t>rennlist-k24-lag-page1</t>
        </is>
      </c>
      <c r="C22" s="2" t="n">
        <v>2750</v>
      </c>
      <c r="D22" s="2" t="n">
        <v>400</v>
      </c>
      <c r="E22" s="2" t="inlineStr">
        <is>
          <t>Nm</t>
        </is>
      </c>
      <c r="F22" s="2" t="n">
        <v>400</v>
      </c>
      <c r="G22" s="2" t="n">
        <v>115.1917306316257</v>
      </c>
      <c r="H22" s="2" t="n">
        <v>156.6171671014067</v>
      </c>
      <c r="I22" s="2" t="n">
        <v>154.474655229156</v>
      </c>
      <c r="J22" s="2" t="inlineStr">
        <is>
          <t>owner reported engine dyno by RS Tuning</t>
        </is>
      </c>
    </row>
    <row r="23">
      <c r="A23" s="2" t="inlineStr">
        <is>
          <t>zc-k16-stage3-engine-dyno</t>
        </is>
      </c>
      <c r="B23" s="2" t="inlineStr">
        <is>
          <t>rennlist-k24-lag-page1</t>
        </is>
      </c>
      <c r="C23" s="2" t="n">
        <v>3000</v>
      </c>
      <c r="D23" s="2" t="n">
        <v>465</v>
      </c>
      <c r="E23" s="2" t="inlineStr">
        <is>
          <t>Nm</t>
        </is>
      </c>
      <c r="F23" s="2" t="n">
        <v>465</v>
      </c>
      <c r="G23" s="2" t="n">
        <v>146.0840583919254</v>
      </c>
      <c r="H23" s="2" t="n">
        <v>198.6190437331476</v>
      </c>
      <c r="I23" s="2" t="n">
        <v>195.9019491315206</v>
      </c>
      <c r="J23" s="2" t="inlineStr">
        <is>
          <t>owner reported engine dyno by RS Tuning</t>
        </is>
      </c>
    </row>
    <row r="24">
      <c r="A24" s="2" t="inlineStr">
        <is>
          <t>zc-k16-stage3-engine-dyno</t>
        </is>
      </c>
      <c r="B24" s="2" t="inlineStr">
        <is>
          <t>rennlist-k24-lag-page1</t>
        </is>
      </c>
      <c r="C24" s="2" t="n">
        <v>3250</v>
      </c>
      <c r="D24" s="2" t="n">
        <v>550</v>
      </c>
      <c r="E24" s="2" t="inlineStr">
        <is>
          <t>Nm</t>
        </is>
      </c>
      <c r="F24" s="2" t="n">
        <v>550</v>
      </c>
      <c r="G24" s="2" t="n">
        <v>187.1865622763918</v>
      </c>
      <c r="H24" s="2" t="n">
        <v>254.5028965397859</v>
      </c>
      <c r="I24" s="2" t="n">
        <v>251.0213147473785</v>
      </c>
      <c r="J24" s="2" t="inlineStr">
        <is>
          <t>owner reported engine dyno by RS Tuning</t>
        </is>
      </c>
    </row>
    <row r="25">
      <c r="A25" s="2" t="inlineStr">
        <is>
          <t>zc-k16-stage3-engine-dyno</t>
        </is>
      </c>
      <c r="B25" s="2" t="inlineStr">
        <is>
          <t>rennlist-k24-lag-page1</t>
        </is>
      </c>
      <c r="C25" s="2" t="n">
        <v>3500</v>
      </c>
      <c r="D25" s="2" t="n">
        <v>605</v>
      </c>
      <c r="E25" s="2" t="inlineStr">
        <is>
          <t>Nm</t>
        </is>
      </c>
      <c r="F25" s="2" t="n">
        <v>605</v>
      </c>
      <c r="G25" s="2" t="n">
        <v>221.7440814658796</v>
      </c>
      <c r="H25" s="2" t="n">
        <v>301.488046670208</v>
      </c>
      <c r="I25" s="2" t="n">
        <v>297.3637113161253</v>
      </c>
      <c r="J25" s="2" t="inlineStr">
        <is>
          <t>owner reported engine dyno by RS Tuning</t>
        </is>
      </c>
    </row>
    <row r="26">
      <c r="A26" s="2" t="inlineStr">
        <is>
          <t>zc-k16-stage3-engine-dyno</t>
        </is>
      </c>
      <c r="B26" s="2" t="inlineStr">
        <is>
          <t>rennlist-k24-lag-page1</t>
        </is>
      </c>
      <c r="C26" s="2" t="n">
        <v>3750</v>
      </c>
      <c r="D26" s="2" t="n">
        <v>612</v>
      </c>
      <c r="E26" s="2" t="inlineStr">
        <is>
          <t>Nm</t>
        </is>
      </c>
      <c r="F26" s="2" t="n">
        <v>612</v>
      </c>
      <c r="G26" s="2" t="n">
        <v>240.3318379996192</v>
      </c>
      <c r="H26" s="2" t="n">
        <v>326.7603622706622</v>
      </c>
      <c r="I26" s="2" t="n">
        <v>322.2903034099209</v>
      </c>
      <c r="J26" s="2" t="inlineStr">
        <is>
          <t>owner reported engine dyno by RS Tuning</t>
        </is>
      </c>
    </row>
    <row r="27">
      <c r="A27" s="2" t="inlineStr">
        <is>
          <t>zc-k16-stage3-engine-dyno</t>
        </is>
      </c>
      <c r="B27" s="2" t="inlineStr">
        <is>
          <t>rennlist-k24-lag-page1</t>
        </is>
      </c>
      <c r="C27" s="2" t="n">
        <v>4000</v>
      </c>
      <c r="D27" s="2" t="n">
        <v>620</v>
      </c>
      <c r="E27" s="2" t="inlineStr">
        <is>
          <t>Nm</t>
        </is>
      </c>
      <c r="F27" s="2" t="n">
        <v>620</v>
      </c>
      <c r="G27" s="2" t="n">
        <v>259.7049926967562</v>
      </c>
      <c r="H27" s="2" t="n">
        <v>353.1005221922624</v>
      </c>
      <c r="I27" s="2" t="n">
        <v>348.2701317893698</v>
      </c>
      <c r="J27" s="2" t="inlineStr">
        <is>
          <t>owner reported engine dyno by RS Tuning</t>
        </is>
      </c>
    </row>
    <row r="28">
      <c r="A28" s="2" t="inlineStr">
        <is>
          <t>zc-k16-stage3-engine-dyno</t>
        </is>
      </c>
      <c r="B28" s="2" t="inlineStr">
        <is>
          <t>rennlist-k24-lag-page1</t>
        </is>
      </c>
      <c r="C28" s="2" t="n">
        <v>4700</v>
      </c>
      <c r="D28" s="2" t="n">
        <v>671</v>
      </c>
      <c r="E28" s="2" t="inlineStr">
        <is>
          <t>Nm</t>
        </is>
      </c>
      <c r="F28" s="2" t="n">
        <v>671</v>
      </c>
      <c r="G28" s="2" t="n">
        <v>330.254691720871</v>
      </c>
      <c r="H28" s="2" t="n">
        <v>449.021418079733</v>
      </c>
      <c r="I28" s="2" t="n">
        <v>442.8788365419902</v>
      </c>
      <c r="J28" s="2" t="inlineStr">
        <is>
          <t>owner reported engine dyno by RS Tuning</t>
        </is>
      </c>
    </row>
    <row r="29">
      <c r="A29" s="2" t="inlineStr">
        <is>
          <t>k24rs-engine-dyno</t>
        </is>
      </c>
      <c r="B29" s="2" t="inlineStr">
        <is>
          <t>rennlist-k24-lag-page1</t>
        </is>
      </c>
      <c r="C29" s="2" t="n">
        <v>2500</v>
      </c>
      <c r="D29" s="2" t="n">
        <v>325</v>
      </c>
      <c r="E29" s="2" t="inlineStr">
        <is>
          <t>Nm</t>
        </is>
      </c>
      <c r="F29" s="2" t="n">
        <v>325</v>
      </c>
      <c r="G29" s="2" t="n">
        <v>85.08480103472357</v>
      </c>
      <c r="H29" s="2" t="n">
        <v>115.6831347908118</v>
      </c>
      <c r="I29" s="2" t="n">
        <v>114.1005976124448</v>
      </c>
      <c r="J29" s="2" t="inlineStr">
        <is>
          <t>owner reported same-owner-engine dyno by RS Tuning; exact turbo spec uncertain</t>
        </is>
      </c>
    </row>
    <row r="30">
      <c r="A30" s="2" t="inlineStr">
        <is>
          <t>k24rs-engine-dyno</t>
        </is>
      </c>
      <c r="B30" s="2" t="inlineStr">
        <is>
          <t>rennlist-k24-lag-page1</t>
        </is>
      </c>
      <c r="C30" s="2" t="n">
        <v>2750</v>
      </c>
      <c r="D30" s="2" t="n">
        <v>375</v>
      </c>
      <c r="E30" s="2" t="inlineStr">
        <is>
          <t>Nm</t>
        </is>
      </c>
      <c r="F30" s="2" t="n">
        <v>375</v>
      </c>
      <c r="G30" s="2" t="n">
        <v>107.9922474671491</v>
      </c>
      <c r="H30" s="2" t="n">
        <v>146.8285941575688</v>
      </c>
      <c r="I30" s="2" t="n">
        <v>144.8199892773337</v>
      </c>
      <c r="J30" s="2" t="inlineStr">
        <is>
          <t>owner reported same-owner-engine dyno by RS Tuning; exact turbo spec uncertain</t>
        </is>
      </c>
    </row>
    <row r="31">
      <c r="A31" s="2" t="inlineStr">
        <is>
          <t>k24rs-engine-dyno</t>
        </is>
      </c>
      <c r="B31" s="2" t="inlineStr">
        <is>
          <t>rennlist-k24-lag-page1</t>
        </is>
      </c>
      <c r="C31" s="2" t="n">
        <v>3000</v>
      </c>
      <c r="D31" s="2" t="n">
        <v>425</v>
      </c>
      <c r="E31" s="2" t="inlineStr">
        <is>
          <t>Nm</t>
        </is>
      </c>
      <c r="F31" s="2" t="n">
        <v>425</v>
      </c>
      <c r="G31" s="2" t="n">
        <v>133.5176877775662</v>
      </c>
      <c r="H31" s="2" t="n">
        <v>181.5335345948123</v>
      </c>
      <c r="I31" s="2" t="n">
        <v>179.0501685610672</v>
      </c>
      <c r="J31" s="2" t="inlineStr">
        <is>
          <t>owner reported same-owner-engine dyno by RS Tuning; exact turbo spec uncertain</t>
        </is>
      </c>
    </row>
    <row r="32">
      <c r="A32" s="2" t="inlineStr">
        <is>
          <t>k24rs-engine-dyno</t>
        </is>
      </c>
      <c r="B32" s="2" t="inlineStr">
        <is>
          <t>rennlist-k24-lag-page1</t>
        </is>
      </c>
      <c r="C32" s="2" t="n">
        <v>3250</v>
      </c>
      <c r="D32" s="2" t="n">
        <v>480</v>
      </c>
      <c r="E32" s="2" t="inlineStr">
        <is>
          <t>Nm</t>
        </is>
      </c>
      <c r="F32" s="2" t="n">
        <v>480</v>
      </c>
      <c r="G32" s="2" t="n">
        <v>163.3628179866692</v>
      </c>
      <c r="H32" s="2" t="n">
        <v>222.1116187983586</v>
      </c>
      <c r="I32" s="2" t="n">
        <v>219.0731474158939</v>
      </c>
      <c r="J32" s="2" t="inlineStr">
        <is>
          <t>owner reported same-owner-engine dyno by RS Tuning; exact turbo spec uncertain</t>
        </is>
      </c>
    </row>
    <row r="33">
      <c r="A33" s="2" t="inlineStr">
        <is>
          <t>k24rs-engine-dyno</t>
        </is>
      </c>
      <c r="B33" s="2" t="inlineStr">
        <is>
          <t>rennlist-k24-lag-page1</t>
        </is>
      </c>
      <c r="C33" s="2" t="n">
        <v>3500</v>
      </c>
      <c r="D33" s="2" t="n">
        <v>555</v>
      </c>
      <c r="E33" s="2" t="inlineStr">
        <is>
          <t>Nm</t>
        </is>
      </c>
      <c r="F33" s="2" t="n">
        <v>555</v>
      </c>
      <c r="G33" s="2" t="n">
        <v>203.4181243199391</v>
      </c>
      <c r="H33" s="2" t="n">
        <v>276.5716791768023</v>
      </c>
      <c r="I33" s="2" t="n">
        <v>272.7881979842141</v>
      </c>
      <c r="J33" s="2" t="inlineStr">
        <is>
          <t>owner reported same-owner-engine dyno by RS Tuning; exact turbo spec uncertain</t>
        </is>
      </c>
    </row>
    <row r="34">
      <c r="A34" s="2" t="inlineStr">
        <is>
          <t>k24rs-engine-dyno</t>
        </is>
      </c>
      <c r="B34" s="2" t="inlineStr">
        <is>
          <t>rennlist-k24-lag-page1</t>
        </is>
      </c>
      <c r="C34" s="2" t="n">
        <v>3750</v>
      </c>
      <c r="D34" s="2" t="n">
        <v>675</v>
      </c>
      <c r="E34" s="2" t="inlineStr">
        <is>
          <t>Nm</t>
        </is>
      </c>
      <c r="F34" s="2" t="n">
        <v>675</v>
      </c>
      <c r="G34" s="2" t="n">
        <v>265.0718801466388</v>
      </c>
      <c r="H34" s="2" t="n">
        <v>360.3974583867598</v>
      </c>
      <c r="I34" s="2" t="n">
        <v>355.467246408001</v>
      </c>
      <c r="J34" s="2" t="inlineStr">
        <is>
          <t>owner reported same-owner-engine dyno by RS Tuning; exact turbo spec uncertain</t>
        </is>
      </c>
    </row>
    <row r="35">
      <c r="A35" s="2" t="inlineStr">
        <is>
          <t>k24rs-engine-dyno</t>
        </is>
      </c>
      <c r="B35" s="2" t="inlineStr">
        <is>
          <t>rennlist-k24-lag-page1</t>
        </is>
      </c>
      <c r="C35" s="2" t="n">
        <v>4000</v>
      </c>
      <c r="D35" s="2" t="n">
        <v>740</v>
      </c>
      <c r="E35" s="2" t="inlineStr">
        <is>
          <t>Nm</t>
        </is>
      </c>
      <c r="F35" s="2" t="n">
        <v>740</v>
      </c>
      <c r="G35" s="2" t="n">
        <v>309.9704751541929</v>
      </c>
      <c r="H35" s="2" t="n">
        <v>421.4425587456035</v>
      </c>
      <c r="I35" s="2" t="n">
        <v>415.6772540711834</v>
      </c>
      <c r="J35" s="2" t="inlineStr">
        <is>
          <t>owner reported same-owner-engine dyno by RS Tuning; exact turbo spec uncertain</t>
        </is>
      </c>
    </row>
    <row r="36">
      <c r="A36" s="2" t="inlineStr">
        <is>
          <t>k24rs-engine-dyno</t>
        </is>
      </c>
      <c r="B36" s="2" t="inlineStr">
        <is>
          <t>rennlist-k24-lag-page1</t>
        </is>
      </c>
      <c r="C36" s="2" t="n">
        <v>4550</v>
      </c>
      <c r="D36" s="2" t="n">
        <v>757</v>
      </c>
      <c r="E36" s="2" t="inlineStr">
        <is>
          <t>Nm</t>
        </is>
      </c>
      <c r="F36" s="2" t="n">
        <v>757</v>
      </c>
      <c r="G36" s="2" t="n">
        <v>360.6914885464001</v>
      </c>
      <c r="H36" s="2" t="n">
        <v>490.4039450052093</v>
      </c>
      <c r="I36" s="2" t="n">
        <v>483.6952533986758</v>
      </c>
      <c r="J36" s="2" t="inlineStr">
        <is>
          <t>owner reported same-owner-engine dyno by RS Tuning; exact turbo spec uncertain</t>
        </is>
      </c>
    </row>
    <row r="37">
      <c r="A37" s="2" t="inlineStr">
        <is>
          <t>ruf-1998-customer-engine-dyno</t>
        </is>
      </c>
      <c r="B37" s="2" t="inlineStr">
        <is>
          <t>rennlist-k24-lag-page2</t>
        </is>
      </c>
      <c r="C37" s="2" t="n">
        <v>2000</v>
      </c>
      <c r="D37" s="2" t="n">
        <v>267</v>
      </c>
      <c r="E37" s="2" t="inlineStr">
        <is>
          <t>lb-ft</t>
        </is>
      </c>
      <c r="F37" s="2" t="n">
        <v>362.0033921961</v>
      </c>
      <c r="G37" s="2" t="n">
        <v>75.81781316652349</v>
      </c>
      <c r="H37" s="2" t="n">
        <v>103.0835377579139</v>
      </c>
      <c r="I37" s="2" t="n">
        <v>101.6733621841409</v>
      </c>
      <c r="J37" s="2" t="inlineStr">
        <is>
          <t>forum transcription attributed to RUF customer dyno in 911 &amp; Porsche World September 1998; original unseen</t>
        </is>
      </c>
    </row>
    <row r="38">
      <c r="A38" s="2" t="inlineStr">
        <is>
          <t>ruf-1998-customer-engine-dyno</t>
        </is>
      </c>
      <c r="B38" s="2" t="inlineStr">
        <is>
          <t>rennlist-k24-lag-page2</t>
        </is>
      </c>
      <c r="C38" s="2" t="n">
        <v>2500</v>
      </c>
      <c r="D38" s="2" t="n">
        <v>375</v>
      </c>
      <c r="E38" s="2" t="inlineStr">
        <is>
          <t>lb-ft</t>
        </is>
      </c>
      <c r="F38" s="2" t="n">
        <v>508.4317306125</v>
      </c>
      <c r="G38" s="2" t="n">
        <v>133.1071158120145</v>
      </c>
      <c r="H38" s="2" t="n">
        <v>180.9753120749893</v>
      </c>
      <c r="I38" s="2" t="n">
        <v>178.4995824862024</v>
      </c>
      <c r="J38" s="2" t="inlineStr">
        <is>
          <t>forum transcription attributed to RUF customer dyno in 911 &amp; Porsche World September 1998; original unseen</t>
        </is>
      </c>
    </row>
    <row r="39">
      <c r="A39" s="2" t="inlineStr">
        <is>
          <t>ruf-1998-customer-engine-dyno</t>
        </is>
      </c>
      <c r="B39" s="2" t="inlineStr">
        <is>
          <t>rennlist-k24-lag-page2</t>
        </is>
      </c>
      <c r="C39" s="2" t="n">
        <v>3000</v>
      </c>
      <c r="D39" s="2" t="n">
        <v>404</v>
      </c>
      <c r="E39" s="2" t="inlineStr">
        <is>
          <t>lb-ft</t>
        </is>
      </c>
      <c r="F39" s="2" t="n">
        <v>547.7504511131999</v>
      </c>
      <c r="G39" s="2" t="n">
        <v>172.0808793217724</v>
      </c>
      <c r="H39" s="2" t="n">
        <v>233.9648834505462</v>
      </c>
      <c r="I39" s="2" t="n">
        <v>230.7642602381624</v>
      </c>
      <c r="J39" s="2" t="inlineStr">
        <is>
          <t>forum transcription attributed to RUF customer dyno in 911 &amp; Porsche World September 1998; original unseen</t>
        </is>
      </c>
    </row>
    <row r="40">
      <c r="A40" s="2" t="inlineStr">
        <is>
          <t>ruf-1998-customer-engine-dyno</t>
        </is>
      </c>
      <c r="B40" s="2" t="inlineStr">
        <is>
          <t>rennlist-k24-lag-page2</t>
        </is>
      </c>
      <c r="C40" s="2" t="n">
        <v>3500</v>
      </c>
      <c r="D40" s="2" t="n">
        <v>411</v>
      </c>
      <c r="E40" s="2" t="inlineStr">
        <is>
          <t>lb-ft</t>
        </is>
      </c>
      <c r="F40" s="2" t="n">
        <v>557.2411767512999</v>
      </c>
      <c r="G40" s="2" t="n">
        <v>204.2395585019551</v>
      </c>
      <c r="H40" s="2" t="n">
        <v>277.6885188478636</v>
      </c>
      <c r="I40" s="2" t="n">
        <v>273.8897593668289</v>
      </c>
      <c r="J40" s="2" t="inlineStr">
        <is>
          <t>forum transcription attributed to RUF customer dyno in 911 &amp; Porsche World September 1998; original unseen</t>
        </is>
      </c>
    </row>
    <row r="41">
      <c r="A41" s="2" t="inlineStr">
        <is>
          <t>ruf-1998-customer-engine-dyno</t>
        </is>
      </c>
      <c r="B41" s="2" t="inlineStr">
        <is>
          <t>rennlist-k24-lag-page2</t>
        </is>
      </c>
      <c r="C41" s="2" t="n">
        <v>4000</v>
      </c>
      <c r="D41" s="2" t="n">
        <v>449</v>
      </c>
      <c r="E41" s="2" t="inlineStr">
        <is>
          <t>lb-ft</t>
        </is>
      </c>
      <c r="F41" s="2" t="n">
        <v>608.7622587866999</v>
      </c>
      <c r="G41" s="2" t="n">
        <v>254.9977386649367</v>
      </c>
      <c r="H41" s="2" t="n">
        <v>346.7004378524596</v>
      </c>
      <c r="I41" s="2" t="n">
        <v>341.9576001549008</v>
      </c>
      <c r="J41" s="2" t="inlineStr">
        <is>
          <t>forum transcription attributed to RUF customer dyno in 911 &amp; Porsche World September 1998; original unseen</t>
        </is>
      </c>
    </row>
    <row r="42">
      <c r="A42" s="2" t="inlineStr">
        <is>
          <t>ruf-1998-customer-engine-dyno</t>
        </is>
      </c>
      <c r="B42" s="2" t="inlineStr">
        <is>
          <t>rennlist-k24-lag-page2</t>
        </is>
      </c>
      <c r="C42" s="2" t="n">
        <v>4500</v>
      </c>
      <c r="D42" s="2" t="n">
        <v>535</v>
      </c>
      <c r="E42" s="2" t="inlineStr">
        <is>
          <t>lb-ft</t>
        </is>
      </c>
      <c r="F42" s="2" t="n">
        <v>725.3626023405</v>
      </c>
      <c r="G42" s="2" t="n">
        <v>341.8190734052534</v>
      </c>
      <c r="H42" s="2" t="n">
        <v>464.7446014085726</v>
      </c>
      <c r="I42" s="2" t="n">
        <v>458.3869278245677</v>
      </c>
      <c r="J42" s="2" t="inlineStr">
        <is>
          <t>forum transcription attributed to RUF customer dyno in 911 &amp; Porsche World September 1998; original unseen</t>
        </is>
      </c>
    </row>
    <row r="43">
      <c r="A43" s="2" t="inlineStr">
        <is>
          <t>ruf-1998-customer-engine-dyno</t>
        </is>
      </c>
      <c r="B43" s="2" t="inlineStr">
        <is>
          <t>rennlist-k24-lag-page2</t>
        </is>
      </c>
      <c r="C43" s="2" t="n">
        <v>5000</v>
      </c>
      <c r="D43" s="2" t="n">
        <v>523</v>
      </c>
      <c r="E43" s="2" t="inlineStr">
        <is>
          <t>lb-ft</t>
        </is>
      </c>
      <c r="F43" s="2" t="n">
        <v>709.0927869609</v>
      </c>
      <c r="G43" s="2" t="n">
        <v>371.2801150383126</v>
      </c>
      <c r="H43" s="2" t="n">
        <v>504.8004704811702</v>
      </c>
      <c r="I43" s="2" t="n">
        <v>497.8948354148472</v>
      </c>
      <c r="J43" s="2" t="inlineStr">
        <is>
          <t>forum transcription attributed to RUF customer dyno in 911 &amp; Porsche World September 1998; original unseen</t>
        </is>
      </c>
    </row>
    <row r="44">
      <c r="A44" s="2" t="inlineStr">
        <is>
          <t>ruf-1998-customer-engine-dyno</t>
        </is>
      </c>
      <c r="B44" s="2" t="inlineStr">
        <is>
          <t>rennlist-k24-lag-page2</t>
        </is>
      </c>
      <c r="C44" s="2" t="n">
        <v>5500</v>
      </c>
      <c r="D44" s="2" t="n">
        <v>468</v>
      </c>
      <c r="E44" s="2" t="inlineStr">
        <is>
          <t>lb-ft</t>
        </is>
      </c>
      <c r="F44" s="2" t="n">
        <v>634.5227998043999</v>
      </c>
      <c r="G44" s="2" t="n">
        <v>365.4588971734672</v>
      </c>
      <c r="H44" s="2" t="n">
        <v>496.8858168330907</v>
      </c>
      <c r="I44" s="2" t="n">
        <v>490.0884536741173</v>
      </c>
      <c r="J44" s="2" t="inlineStr">
        <is>
          <t>forum transcription attributed to RUF customer dyno in 911 &amp; Porsche World September 1998; original unseen</t>
        </is>
      </c>
    </row>
    <row r="45">
      <c r="A45" s="2" t="inlineStr">
        <is>
          <t>ruf-1998-customer-engine-dyno</t>
        </is>
      </c>
      <c r="B45" s="2" t="inlineStr">
        <is>
          <t>rennlist-k24-lag-page2</t>
        </is>
      </c>
      <c r="C45" s="2" t="n">
        <v>6000</v>
      </c>
      <c r="D45" s="2" t="n">
        <v>395</v>
      </c>
      <c r="E45" s="2" t="inlineStr">
        <is>
          <t>lb-ft</t>
        </is>
      </c>
      <c r="F45" s="2" t="n">
        <v>535.5480895784999</v>
      </c>
      <c r="G45" s="2" t="n">
        <v>336.4947887727727</v>
      </c>
      <c r="H45" s="2" t="n">
        <v>457.5055889255729</v>
      </c>
      <c r="I45" s="2" t="n">
        <v>451.2469445251195</v>
      </c>
      <c r="J45" s="2" t="inlineStr">
        <is>
          <t>forum transcription attributed to RUF customer dyno in 911 &amp; Porsche World September 1998; original unseen</t>
        </is>
      </c>
    </row>
  </sheetData>
  <autoFilter ref="A1:J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 width="65" customWidth="1" min="3" max="3"/>
  </cols>
  <sheetData>
    <row r="1">
      <c r="A1" s="1" t="inlineStr">
        <is>
          <t>Étape</t>
        </is>
      </c>
      <c r="B1" s="1" t="inlineStr">
        <is>
          <t>Mesures / documents</t>
        </is>
      </c>
      <c r="C1" s="1" t="inlineStr">
        <is>
          <t>Utilité</t>
        </is>
      </c>
    </row>
    <row r="2">
      <c r="A2" s="2" t="inlineStr">
        <is>
          <t>Identification</t>
        </is>
      </c>
      <c r="B2" s="2" t="inlineStr">
        <is>
          <t>Plaques 6735/6736, références de roues, carters, historique des réparations</t>
        </is>
      </c>
      <c r="C2" s="2" t="inlineStr">
        <is>
          <t>Écarter un donneur déjà hybride ou une substitution.</t>
        </is>
      </c>
    </row>
    <row r="3">
      <c r="A3" s="2" t="inlineStr">
        <is>
          <t>Métrologie</t>
        </is>
      </c>
      <c r="B3" s="2" t="inlineStr">
        <is>
          <t>Inducer/exducer, nombre et profil des pales, trim, jeux, volutes, gorge turbine, masse/inertie ; scan 3D/CMM</t>
        </is>
      </c>
      <c r="C3" s="2" t="inlineStr">
        <is>
          <t>Comparer géométrie réelle aux cartes candidates ; les diamètres seuls ne décrivent pas l’aérodynamique.</t>
        </is>
      </c>
    </row>
    <row r="4">
      <c r="A4" s="2" t="inlineStr">
        <is>
          <t>Essai compresseur</t>
        </is>
      </c>
      <c r="B4" s="2" t="inlineStr">
        <is>
          <t>Débit, pressions et températures totales entrée/sortie, vitesse arbre ; références de correction déclarées</t>
        </is>
      </c>
      <c r="C4" s="2" t="inlineStr">
        <is>
          <t>Points débit corrigé / PR / rendement pour plusieurs lignes de vitesse, y compris pompage et étranglement.</t>
        </is>
      </c>
    </row>
    <row r="5">
      <c r="A5" s="2" t="inlineStr">
        <is>
          <t>Essai turbine</t>
        </is>
      </c>
      <c r="B5" s="2" t="inlineStr">
        <is>
          <t>Débit gaz corrigé, pression et température amont, pression aval, vitesse ; position wastegate</t>
        </is>
      </c>
      <c r="C5" s="2" t="inlineStr">
        <is>
          <t>Capacité d’absorption et rendement selon détente ; vérifier la contre-pression du carter chaud.</t>
        </is>
      </c>
    </row>
    <row r="6">
      <c r="A6" s="2" t="inlineStr">
        <is>
          <t>Mesure moteur</t>
        </is>
      </c>
      <c r="B6" s="2" t="inlineStr">
        <is>
          <t>Régime, couple, air, carburant, lambda, avance/cliquetis, P/T admission et échappement, vitesse turbo par banc</t>
        </is>
      </c>
      <c r="C6" s="2" t="inlineStr">
        <is>
          <t>Séparer effets du moteur, échangeur, échappement et turbo. Débit total/2 seulement si partage vérifié.</t>
        </is>
      </c>
    </row>
    <row r="7">
      <c r="A7" s="2" t="inlineStr">
        <is>
          <t>Validation hybride</t>
        </is>
      </c>
      <c r="B7" s="2" t="inlineStr">
        <is>
          <t>Équilibrage composants et CHRA, rapport VSR, limites fabricant, essais stabilisés et transitoires</t>
        </is>
      </c>
      <c r="C7" s="2" t="inlineStr">
        <is>
          <t>La modification des roues et carters exige la qualification du nouvel ensemble.</t>
        </is>
      </c>
    </row>
  </sheetData>
  <autoFilter ref="A1:C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s>
  <sheetData>
    <row r="1">
      <c r="A1" s="1" t="inlineStr">
        <is>
          <t>Sujet</t>
        </is>
      </c>
      <c r="B1" s="1" t="inlineStr">
        <is>
          <t>Données à obtenir</t>
        </is>
      </c>
    </row>
    <row r="2">
      <c r="A2" s="2" t="inlineStr">
        <is>
          <t>Objectif</t>
        </is>
      </c>
      <c r="B2" s="2" t="inlineStr">
        <is>
          <t>Plus de 550 ch au vilebrequin, priorité puissance. Étudier 600 et 650 ch comme scénarios, sans les considérer comme objectif confirmé.</t>
        </is>
      </c>
    </row>
    <row r="3">
      <c r="A3" s="2" t="inlineStr">
        <is>
          <t>Donneurs</t>
        </is>
      </c>
      <c r="B3" s="2" t="inlineStr">
        <is>
          <t>K16-6735/6736 d’origine ; préciser exactement ce qui est conservé, remplacé, usiné ou retaillé.</t>
        </is>
      </c>
    </row>
    <row r="4">
      <c r="A4" s="2" t="inlineStr">
        <is>
          <t>Cartes</t>
        </is>
      </c>
      <c r="B4" s="2" t="inlineStr">
        <is>
          <t>Compresseur ET turbine du CHRA dans les carters proposés ; débit corrigé, PR/détente, rendement, vitesse et références P/T.</t>
        </is>
      </c>
    </row>
    <row r="5">
      <c r="A5" s="2" t="inlineStr">
        <is>
          <t>Géométrie</t>
        </is>
      </c>
      <c r="B5" s="2" t="inlineStr">
        <is>
          <t>Références des roues ; diamètres entrée/sortie ; profils, pales, jeux ; section turbine ; modifications et actionneurs.</t>
        </is>
      </c>
    </row>
    <row r="6">
      <c r="A6" s="2" t="inlineStr">
        <is>
          <t>Limites</t>
        </is>
      </c>
      <c r="B6" s="2" t="inlineStr">
        <is>
          <t>Vitesse maximale du nouvel ensemble, durée admissible, température gaz continue/transitoire, pressions huile et protocole VSR.</t>
        </is>
      </c>
    </row>
    <row r="7">
      <c r="A7" s="2" t="inlineStr">
        <is>
          <t>Essai M64/60</t>
        </is>
      </c>
      <c r="B7" s="2" t="inlineStr">
        <is>
          <t>Courbes couple/puissance et boost, débit, lambda, avance, carburant/RON, températures entrée/sortie échangeur, EGT, contre-pression, méthode de correction.</t>
        </is>
      </c>
    </row>
    <row r="8">
      <c r="A8" s="2" t="inlineStr">
        <is>
          <t>Configuration</t>
        </is>
      </c>
      <c r="B8" s="2" t="inlineStr">
        <is>
          <t>Cylindrée, compression, culasses/cames, échappement/catalyseurs, échangeur, injecteurs/pompes/régulateur, DME et refroidissement.</t>
        </is>
      </c>
    </row>
    <row r="9">
      <c r="A9" s="2" t="inlineStr">
        <is>
          <t>Traçabilité</t>
        </is>
      </c>
      <c r="B9" s="2" t="inlineStr">
        <is>
          <t>Numéro des donneurs et CHRA, contrôle fissures, rapport d’équilibrage et configuration exacte des essais.</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2026-10-02T21:47:09Z</dcterms:created>
  <dcterms:modified xmlns:dcterms="http://purl.org/dc/terms/" xmlns:xsi="http://www.w3.org/2001/XMLSchema-instance" xsi:type="dcterms:W3CDTF">2026-10-02T21:47:09Z</dcterms:modified>
</cp:coreProperties>
</file>